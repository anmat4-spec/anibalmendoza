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Entradas" sheetId="2" state="visible" r:id="rId2"/>
    <sheet xmlns:r="http://schemas.openxmlformats.org/officeDocument/2006/relationships" name="Energia" sheetId="3" state="visible" r:id="rId3"/>
    <sheet xmlns:r="http://schemas.openxmlformats.org/officeDocument/2006/relationships" name="Malla" sheetId="4" state="visible" r:id="rId4"/>
    <sheet xmlns:r="http://schemas.openxmlformats.org/officeDocument/2006/relationships" name="Postes" sheetId="5" state="visible" r:id="rId5"/>
    <sheet xmlns:r="http://schemas.openxmlformats.org/officeDocument/2006/relationships" name="Cables" sheetId="6" state="visible" r:id="rId6"/>
    <sheet xmlns:r="http://schemas.openxmlformats.org/officeDocument/2006/relationships" name="Retenidas" sheetId="7" state="visible" r:id="rId7"/>
    <sheet xmlns:r="http://schemas.openxmlformats.org/officeDocument/2006/relationships" name="Muerto" sheetId="8" state="visible" r:id="rId8"/>
    <sheet xmlns:r="http://schemas.openxmlformats.org/officeDocument/2006/relationships" name="Empotramiento" sheetId="9" state="visible" r:id="rId9"/>
    <sheet xmlns:r="http://schemas.openxmlformats.org/officeDocument/2006/relationships" name="Extremos" sheetId="10" state="visible" r:id="rId10"/>
    <sheet xmlns:r="http://schemas.openxmlformats.org/officeDocument/2006/relationships" name="Presion" sheetId="11" state="visible" r:id="rId11"/>
    <sheet xmlns:r="http://schemas.openxmlformats.org/officeDocument/2006/relationships" name="Metrado" sheetId="12" state="visible" r:id="rId12"/>
    <sheet xmlns:r="http://schemas.openxmlformats.org/officeDocument/2006/relationships" name="Resultados" sheetId="13" state="visible" r:id="rId13"/>
  </sheets>
  <definedNames>
    <definedName name="_xlnm._FilterDatabase" localSheetId="0" hidden="1">'Guia'!$A$3:$C$12</definedName>
    <definedName name="_xlnm.Print_Titles" localSheetId="0">'Guia'!$1:$3</definedName>
    <definedName name="_xlnm._FilterDatabase" localSheetId="1" hidden="1">'Entradas'!$A$3:$D$54</definedName>
    <definedName name="_xlnm.Print_Titles" localSheetId="1">'Entradas'!$1:$3</definedName>
    <definedName name="_xlnm._FilterDatabase" localSheetId="2" hidden="1">'Energia'!$A$3:$D$11</definedName>
    <definedName name="_xlnm.Print_Titles" localSheetId="2">'Energia'!$1:$3</definedName>
    <definedName name="_xlnm._FilterDatabase" localSheetId="3" hidden="1">'Malla'!$A$3:$D$17</definedName>
    <definedName name="_xlnm.Print_Titles" localSheetId="3">'Malla'!$1:$3</definedName>
    <definedName name="_xlnm._FilterDatabase" localSheetId="4" hidden="1">'Postes'!$A$3:$D$31</definedName>
    <definedName name="_xlnm.Print_Titles" localSheetId="4">'Postes'!$1:$3</definedName>
    <definedName name="_xlnm._FilterDatabase" localSheetId="5" hidden="1">'Cables'!$A$3:$D$13</definedName>
    <definedName name="_xlnm.Print_Titles" localSheetId="5">'Cables'!$1:$3</definedName>
    <definedName name="_xlnm._FilterDatabase" localSheetId="6" hidden="1">'Retenidas'!$A$3:$D$12</definedName>
    <definedName name="_xlnm.Print_Titles" localSheetId="6">'Retenidas'!$1:$3</definedName>
    <definedName name="_xlnm._FilterDatabase" localSheetId="7" hidden="1">'Muerto'!$A$3:$D$14</definedName>
    <definedName name="_xlnm.Print_Titles" localSheetId="7">'Muerto'!$1:$3</definedName>
    <definedName name="_xlnm._FilterDatabase" localSheetId="8" hidden="1">'Empotramiento'!$A$3:$D$13</definedName>
    <definedName name="_xlnm.Print_Titles" localSheetId="8">'Empotramiento'!$1:$3</definedName>
    <definedName name="_xlnm._FilterDatabase" localSheetId="9" hidden="1">'Extremos'!$A$3:$D$11</definedName>
    <definedName name="_xlnm.Print_Titles" localSheetId="9">'Extremos'!$1:$3</definedName>
    <definedName name="_xlnm._FilterDatabase" localSheetId="10" hidden="1">'Presion'!$A$3:$D$14</definedName>
    <definedName name="_xlnm.Print_Titles" localSheetId="10">'Presion'!$1:$3</definedName>
    <definedName name="_xlnm._FilterDatabase" localSheetId="11" hidden="1">'Metrado'!$A$3:$D$11</definedName>
    <definedName name="_xlnm.Print_Titles" localSheetId="11">'Metrado'!$1:$3</definedName>
    <definedName name="_xlnm._FilterDatabase" localSheetId="12" hidden="1">'Resultados'!$A$3:$C$26</definedName>
    <definedName name="_xlnm.Print_Titles" localSheetId="12">'Resultados'!$1:$3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26172"/>
      <sz val="10"/>
    </font>
    <font>
      <name val="Calibri"/>
      <b val="1"/>
      <color rgb="00FFFFFF"/>
      <sz val="11"/>
    </font>
    <font>
      <name val="Calibri"/>
      <color rgb="0024384A"/>
      <sz val="10"/>
    </font>
    <font>
      <name val="Calibri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8345B"/>
      </patternFill>
    </fill>
    <fill>
      <patternFill patternType="solid">
        <fgColor rgb="00008B92"/>
      </patternFill>
    </fill>
    <fill>
      <patternFill patternType="solid">
        <fgColor rgb="00F1F5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64" fontId="5" fillId="4" borderId="0" applyAlignment="1" pivotButton="0" quotePrefix="0" xfId="0">
      <alignment vertical="center" wrapText="1"/>
    </xf>
    <xf numFmtId="164" fontId="5" fillId="5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52" customWidth="1" min="2" max="2"/>
    <col width="60" customWidth="1" min="3" max="3"/>
  </cols>
  <sheetData>
    <row r="1" ht="30" customHeight="1">
      <c r="A1" s="1" t="inlineStr">
        <is>
          <t>MEMORIA REPRODUCIBLE — BOOSTER OPP</t>
        </is>
      </c>
      <c r="B1" s="1" t="n"/>
      <c r="C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</row>
    <row r="3" ht="32" customHeight="1">
      <c r="A3" s="3" t="inlineStr">
        <is>
          <t>Ítem</t>
        </is>
      </c>
      <c r="B3" s="3" t="inlineStr">
        <is>
          <t>Contenido</t>
        </is>
      </c>
      <c r="C3" s="3" t="inlineStr">
        <is>
          <t>Alcance</t>
        </is>
      </c>
    </row>
    <row r="4" ht="32" customHeight="1">
      <c r="A4" s="4" t="inlineStr">
        <is>
          <t>Uso</t>
        </is>
      </c>
      <c r="B4" s="4" t="inlineStr">
        <is>
          <t>Entradas → fórmulas por componente → Resultados</t>
        </is>
      </c>
      <c r="C4" s="4" t="inlineStr">
        <is>
          <t>Las celdas de resultados del libro se recalculan al abrir.</t>
        </is>
      </c>
    </row>
    <row r="5" ht="32" customHeight="1">
      <c r="A5" s="5" t="inlineStr">
        <is>
          <t>Fuente</t>
        </is>
      </c>
      <c r="B5" s="5" t="inlineStr">
        <is>
          <t>Anexo 2 proporcionado, pp.5–12</t>
        </is>
      </c>
      <c r="C5" s="5" t="inlineStr">
        <is>
          <t>Valores de eucalipto y suelo por indicación expresa del solicitante.</t>
        </is>
      </c>
    </row>
    <row r="6" ht="32" customHeight="1">
      <c r="A6" s="4" t="inlineStr">
        <is>
          <t>Modelo</t>
        </is>
      </c>
      <c r="B6" s="4" t="inlineStr">
        <is>
          <t>Energía–fuerza lineal; reparto del Anexo</t>
        </is>
      </c>
      <c r="C6" s="4" t="inlineStr">
        <is>
          <t>Tres postes, δ global 1,50 m, membrana δm=0,50 m.</t>
        </is>
      </c>
    </row>
    <row r="7" ht="32" customHeight="1">
      <c r="A7" s="5" t="inlineStr">
        <is>
          <t>Entradas</t>
        </is>
      </c>
      <c r="B7" s="5" t="inlineStr">
        <is>
          <t>Azul; valores literales del documento</t>
        </is>
      </c>
      <c r="C7" s="5" t="inlineStr">
        <is>
          <t>No son mediciones nuevas de Booster OPP.</t>
        </is>
      </c>
    </row>
    <row r="8" ht="32" customHeight="1">
      <c r="A8" s="4" t="inlineStr">
        <is>
          <t>Fórmulas</t>
        </is>
      </c>
      <c r="B8" s="4" t="inlineStr">
        <is>
          <t>Negro; fórmulas Excel</t>
        </is>
      </c>
      <c r="C8" s="4" t="inlineStr">
        <is>
          <t>No habilitan por sí mismas ocupación bajo los frentes.</t>
        </is>
      </c>
    </row>
    <row r="9" ht="32" customHeight="1">
      <c r="A9" s="5" t="inlineStr">
        <is>
          <t>Resultados</t>
        </is>
      </c>
      <c r="B9" s="5" t="inlineStr">
        <is>
          <t>Valores numéricos calculados independientemente</t>
        </is>
      </c>
      <c r="C9" s="5" t="inlineStr">
        <is>
          <t>Sirven para leer sin motor Excel y contrastar el informe.</t>
        </is>
      </c>
    </row>
    <row r="10" ht="32" customHeight="1">
      <c r="A10" s="4" t="inlineStr">
        <is>
          <t>Límites</t>
        </is>
      </c>
      <c r="B10" s="4" t="inlineStr">
        <is>
          <t>Malla nominal y valores de material de D2</t>
        </is>
      </c>
      <c r="C10" s="4" t="inlineStr">
        <is>
          <t>No ensayos dinámicos ni aceptación de producto o terreno local.</t>
        </is>
      </c>
    </row>
    <row r="11" ht="32" customHeight="1">
      <c r="A11" s="5" t="inlineStr">
        <is>
          <t>Cajones</t>
        </is>
      </c>
      <c r="B11" s="5" t="inlineStr">
        <is>
          <t>Madera/geotextil: funciones y ruta de carga en informe</t>
        </is>
      </c>
      <c r="C11" s="5" t="inlineStr">
        <is>
          <t>No se calcula un tonelaje con geometrías inexistentes en los documentos.</t>
        </is>
      </c>
    </row>
    <row r="12" ht="32" customHeight="1">
      <c r="A12" s="4" t="inlineStr">
        <is>
          <t>Terminales</t>
        </is>
      </c>
      <c r="B12" s="4" t="inlineStr">
        <is>
          <t>Eficiencias mínimas calculadas, no resistencias medidas</t>
        </is>
      </c>
      <c r="C12" s="4" t="inlineStr">
        <is>
          <t>No atribuir eficiencia 100 % a grapas o amarres.</t>
        </is>
      </c>
    </row>
  </sheetData>
  <autoFilter ref="A3:C12"/>
  <mergeCells count="1">
    <mergeCell ref="A1:C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DATOS DEL ANEXO 2 — EUCALIPTO Y SUELO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Parámetro</t>
        </is>
      </c>
      <c r="B3" s="3" t="inlineStr">
        <is>
          <t>Valor</t>
        </is>
      </c>
      <c r="C3" s="3" t="inlineStr">
        <is>
          <t>Unidad</t>
        </is>
      </c>
      <c r="D3" s="3" t="inlineStr">
        <is>
          <t>Fuente / naturaleza del valor</t>
        </is>
      </c>
    </row>
    <row r="4" ht="32" customHeight="1">
      <c r="A4" s="4" t="inlineStr">
        <is>
          <t>m</t>
        </is>
      </c>
      <c r="B4" s="6" t="n">
        <v>1020</v>
      </c>
      <c r="C4" s="4" t="inlineStr">
        <is>
          <t>kg</t>
        </is>
      </c>
      <c r="D4" s="4" t="inlineStr">
        <is>
          <t>§4.1 p.5</t>
        </is>
      </c>
    </row>
    <row r="5" ht="32" customHeight="1">
      <c r="A5" s="5" t="inlineStr">
        <is>
          <t>D</t>
        </is>
      </c>
      <c r="B5" s="7" t="n">
        <v>0.914</v>
      </c>
      <c r="C5" s="5" t="inlineStr">
        <is>
          <t>m</t>
        </is>
      </c>
      <c r="D5" s="5" t="inlineStr">
        <is>
          <t>§4.1 p.5</t>
        </is>
      </c>
    </row>
    <row r="6" ht="32" customHeight="1">
      <c r="A6" s="4" t="inlineStr">
        <is>
          <t>Ek1</t>
        </is>
      </c>
      <c r="B6" s="6" t="n">
        <v>9.199999999999999</v>
      </c>
      <c r="C6" s="4" t="inlineStr">
        <is>
          <t>kJ</t>
        </is>
      </c>
      <c r="D6" s="4" t="inlineStr">
        <is>
          <t>§4.2 p.5</t>
        </is>
      </c>
    </row>
    <row r="7" ht="32" customHeight="1">
      <c r="A7" s="5" t="inlineStr">
        <is>
          <t>Ek2</t>
        </is>
      </c>
      <c r="B7" s="7" t="n">
        <v>12.8</v>
      </c>
      <c r="C7" s="5" t="inlineStr">
        <is>
          <t>kJ</t>
        </is>
      </c>
      <c r="D7" s="5" t="inlineStr">
        <is>
          <t>§4.2 p.5</t>
        </is>
      </c>
    </row>
    <row r="8" ht="32" customHeight="1">
      <c r="A8" s="4" t="inlineStr">
        <is>
          <t>FSenergia</t>
        </is>
      </c>
      <c r="B8" s="6" t="n">
        <v>1.3</v>
      </c>
      <c r="C8" s="4" t="inlineStr">
        <is>
          <t>—</t>
        </is>
      </c>
      <c r="D8" s="4" t="inlineStr">
        <is>
          <t>§6.1 p.7</t>
        </is>
      </c>
    </row>
    <row r="9" ht="32" customHeight="1">
      <c r="A9" s="5" t="inlineStr">
        <is>
          <t>delta</t>
        </is>
      </c>
      <c r="B9" s="7" t="n">
        <v>1.5</v>
      </c>
      <c r="C9" s="5" t="inlineStr">
        <is>
          <t>m</t>
        </is>
      </c>
      <c r="D9" s="5" t="inlineStr">
        <is>
          <t>§6.3 p.7</t>
        </is>
      </c>
    </row>
    <row r="10" ht="32" customHeight="1">
      <c r="A10" s="4" t="inlineStr">
        <is>
          <t>deltam</t>
        </is>
      </c>
      <c r="B10" s="6" t="n">
        <v>0.5</v>
      </c>
      <c r="C10" s="4" t="inlineStr">
        <is>
          <t>m</t>
        </is>
      </c>
      <c r="D10" s="4" t="inlineStr">
        <is>
          <t>§7.12 pp.9–10</t>
        </is>
      </c>
    </row>
    <row r="11" ht="32" customHeight="1">
      <c r="A11" s="5" t="inlineStr">
        <is>
          <t>a</t>
        </is>
      </c>
      <c r="B11" s="7" t="n">
        <v>2.5</v>
      </c>
      <c r="C11" s="5" t="inlineStr">
        <is>
          <t>m</t>
        </is>
      </c>
      <c r="D11" s="5" t="inlineStr">
        <is>
          <t>§7.12 semiluz del modelo</t>
        </is>
      </c>
    </row>
    <row r="12" ht="32" customHeight="1">
      <c r="A12" s="4" t="inlineStr">
        <is>
          <t>b</t>
        </is>
      </c>
      <c r="B12" s="6" t="n">
        <v>1</v>
      </c>
      <c r="C12" s="4" t="inlineStr">
        <is>
          <t>m</t>
        </is>
      </c>
      <c r="D12" s="4" t="inlineStr">
        <is>
          <t>§7.12 ancho equivalente del modelo</t>
        </is>
      </c>
    </row>
    <row r="13" ht="32" customHeight="1">
      <c r="A13" s="5" t="inlineStr">
        <is>
          <t>capas</t>
        </is>
      </c>
      <c r="B13" s="7" t="n">
        <v>2</v>
      </c>
      <c r="C13" s="5" t="inlineStr">
        <is>
          <t>—</t>
        </is>
      </c>
      <c r="D13" s="5" t="inlineStr">
        <is>
          <t>§5.2</t>
        </is>
      </c>
    </row>
    <row r="14" ht="32" customHeight="1">
      <c r="A14" s="4" t="inlineStr">
        <is>
          <t>dw</t>
        </is>
      </c>
      <c r="B14" s="6" t="n">
        <v>2.77</v>
      </c>
      <c r="C14" s="4" t="inlineStr">
        <is>
          <t>mm</t>
        </is>
      </c>
      <c r="D14" s="4" t="inlineStr">
        <is>
          <t>§5.2</t>
        </is>
      </c>
    </row>
    <row r="15" ht="32" customHeight="1">
      <c r="A15" s="5" t="inlineStr">
        <is>
          <t>fu</t>
        </is>
      </c>
      <c r="B15" s="7" t="n">
        <v>539.4</v>
      </c>
      <c r="C15" s="5" t="inlineStr">
        <is>
          <t>MPa</t>
        </is>
      </c>
      <c r="D15" s="5" t="inlineStr">
        <is>
          <t>§7.12</t>
        </is>
      </c>
    </row>
    <row r="16" ht="32" customHeight="1">
      <c r="A16" s="4" t="inlineStr">
        <is>
          <t>abertura</t>
        </is>
      </c>
      <c r="B16" s="6" t="n">
        <v>0.0508</v>
      </c>
      <c r="C16" s="4" t="inlineStr">
        <is>
          <t>m</t>
        </is>
      </c>
      <c r="D16" s="4" t="inlineStr">
        <is>
          <t>§5.2</t>
        </is>
      </c>
    </row>
    <row r="17" ht="32" customHeight="1">
      <c r="A17" s="5" t="inlineStr">
        <is>
          <t>eta_malla</t>
        </is>
      </c>
      <c r="B17" s="7" t="n">
        <v>0.5</v>
      </c>
      <c r="C17" s="5" t="inlineStr">
        <is>
          <t>—</t>
        </is>
      </c>
      <c r="D17" s="5" t="inlineStr">
        <is>
          <t>§7.12 coeficiente del documento</t>
        </is>
      </c>
    </row>
    <row r="18" ht="32" customHeight="1">
      <c r="A18" s="4" t="inlineStr">
        <is>
          <t>dposte</t>
        </is>
      </c>
      <c r="B18" s="6" t="n">
        <v>0.15</v>
      </c>
      <c r="C18" s="4" t="inlineStr">
        <is>
          <t>m</t>
        </is>
      </c>
      <c r="D18" s="4" t="inlineStr">
        <is>
          <t>§5.1</t>
        </is>
      </c>
    </row>
    <row r="19" ht="32" customHeight="1">
      <c r="A19" s="5" t="inlineStr">
        <is>
          <t>hposte</t>
        </is>
      </c>
      <c r="B19" s="7" t="n">
        <v>2</v>
      </c>
      <c r="C19" s="5" t="inlineStr">
        <is>
          <t>m</t>
        </is>
      </c>
      <c r="D19" s="5" t="inlineStr">
        <is>
          <t>§5.1</t>
        </is>
      </c>
    </row>
    <row r="20" ht="32" customHeight="1">
      <c r="A20" s="4" t="inlineStr">
        <is>
          <t>npost</t>
        </is>
      </c>
      <c r="B20" s="6" t="n">
        <v>3</v>
      </c>
      <c r="C20" s="4" t="inlineStr">
        <is>
          <t>—</t>
        </is>
      </c>
      <c r="D20" s="4" t="inlineStr">
        <is>
          <t>§7.5 reparto del modelo</t>
        </is>
      </c>
    </row>
    <row r="21" ht="32" customHeight="1">
      <c r="A21" s="5" t="inlineStr">
        <is>
          <t>fb</t>
        </is>
      </c>
      <c r="B21" s="7" t="n">
        <v>60</v>
      </c>
      <c r="C21" s="5" t="inlineStr">
        <is>
          <t>MPa</t>
        </is>
      </c>
      <c r="D21" s="5" t="inlineStr">
        <is>
          <t>§6.3 valor de cálculo del documento</t>
        </is>
      </c>
    </row>
    <row r="22" ht="32" customHeight="1">
      <c r="A22" s="4" t="inlineStr">
        <is>
          <t>fv</t>
        </is>
      </c>
      <c r="B22" s="6" t="n">
        <v>8.199999999999999</v>
      </c>
      <c r="C22" s="4" t="inlineStr">
        <is>
          <t>MPa</t>
        </is>
      </c>
      <c r="D22" s="4" t="inlineStr">
        <is>
          <t>p.8 valor de cálculo del documento</t>
        </is>
      </c>
    </row>
    <row r="23" ht="32" customHeight="1">
      <c r="A23" s="5" t="inlineStr">
        <is>
          <t>E</t>
        </is>
      </c>
      <c r="B23" s="7" t="n">
        <v>6800</v>
      </c>
      <c r="C23" s="5" t="inlineStr">
        <is>
          <t>MPa</t>
        </is>
      </c>
      <c r="D23" s="5" t="inlineStr">
        <is>
          <t>p.8</t>
        </is>
      </c>
    </row>
    <row r="24" ht="32" customHeight="1">
      <c r="A24" s="4" t="inlineStr">
        <is>
          <t>hs</t>
        </is>
      </c>
      <c r="B24" s="6" t="n">
        <v>0.2</v>
      </c>
      <c r="C24" s="4" t="inlineStr">
        <is>
          <t>m</t>
        </is>
      </c>
      <c r="D24" s="4" t="inlineStr">
        <is>
          <t>§4.2</t>
        </is>
      </c>
    </row>
    <row r="25" ht="32" customHeight="1">
      <c r="A25" s="5" t="inlineStr">
        <is>
          <t>gamma</t>
        </is>
      </c>
      <c r="B25" s="7" t="n">
        <v>19</v>
      </c>
      <c r="C25" s="5" t="inlineStr">
        <is>
          <t>kN/m³</t>
        </is>
      </c>
      <c r="D25" s="5" t="inlineStr">
        <is>
          <t>§4.3</t>
        </is>
      </c>
    </row>
    <row r="26" ht="32" customHeight="1">
      <c r="A26" s="4" t="inlineStr">
        <is>
          <t>phi</t>
        </is>
      </c>
      <c r="B26" s="6" t="n">
        <v>37</v>
      </c>
      <c r="C26" s="4" t="inlineStr">
        <is>
          <t>°</t>
        </is>
      </c>
      <c r="D26" s="4" t="inlineStr">
        <is>
          <t>§4.3</t>
        </is>
      </c>
    </row>
    <row r="27" ht="32" customHeight="1">
      <c r="A27" s="5" t="inlineStr">
        <is>
          <t>Kp</t>
        </is>
      </c>
      <c r="B27" s="7" t="n">
        <v>4.02</v>
      </c>
      <c r="C27" s="5" t="inlineStr">
        <is>
          <t>—</t>
        </is>
      </c>
      <c r="D27" s="5" t="inlineStr">
        <is>
          <t>§4.3 redondeo del Anexo</t>
        </is>
      </c>
    </row>
    <row r="28" ht="32" customHeight="1">
      <c r="A28" s="4" t="inlineStr">
        <is>
          <t>gammac</t>
        </is>
      </c>
      <c r="B28" s="6" t="n">
        <v>23</v>
      </c>
      <c r="C28" s="4" t="inlineStr">
        <is>
          <t>kN/m³</t>
        </is>
      </c>
      <c r="D28" s="4" t="inlineStr">
        <is>
          <t>§4.3</t>
        </is>
      </c>
    </row>
    <row r="29" ht="32" customHeight="1">
      <c r="A29" s="5" t="inlineStr">
        <is>
          <t>De</t>
        </is>
      </c>
      <c r="B29" s="7" t="n">
        <v>0.4</v>
      </c>
      <c r="C29" s="5" t="inlineStr">
        <is>
          <t>m</t>
        </is>
      </c>
      <c r="D29" s="5" t="inlineStr">
        <is>
          <t>§5.3 dado</t>
        </is>
      </c>
    </row>
    <row r="30" ht="32" customHeight="1">
      <c r="A30" s="4" t="inlineStr">
        <is>
          <t>L</t>
        </is>
      </c>
      <c r="B30" s="6" t="n">
        <v>1</v>
      </c>
      <c r="C30" s="4" t="inlineStr">
        <is>
          <t>m</t>
        </is>
      </c>
      <c r="D30" s="4" t="inlineStr">
        <is>
          <t>§5.1</t>
        </is>
      </c>
    </row>
    <row r="31" ht="32" customHeight="1">
      <c r="A31" s="5" t="inlineStr">
        <is>
          <t>Wposte</t>
        </is>
      </c>
      <c r="B31" s="7" t="n">
        <v>0.4</v>
      </c>
      <c r="C31" s="5" t="inlineStr">
        <is>
          <t>kN</t>
        </is>
      </c>
      <c r="D31" s="5" t="inlineStr">
        <is>
          <t>§7.17 dato del documento</t>
        </is>
      </c>
    </row>
    <row r="32" ht="32" customHeight="1">
      <c r="A32" s="4" t="inlineStr">
        <is>
          <t>qadm</t>
        </is>
      </c>
      <c r="B32" s="6" t="n">
        <v>383</v>
      </c>
      <c r="C32" s="4" t="inlineStr">
        <is>
          <t>kPa</t>
        </is>
      </c>
      <c r="D32" s="4" t="inlineStr">
        <is>
          <t>§4.3 comparación de D2</t>
        </is>
      </c>
    </row>
    <row r="33" ht="32" customHeight="1">
      <c r="A33" s="5" t="inlineStr">
        <is>
          <t>MBSc</t>
        </is>
      </c>
      <c r="B33" s="7" t="n">
        <v>90</v>
      </c>
      <c r="C33" s="5" t="inlineStr">
        <is>
          <t>kN</t>
        </is>
      </c>
      <c r="D33" s="5" t="inlineStr">
        <is>
          <t>§5.3</t>
        </is>
      </c>
    </row>
    <row r="34" ht="32" customHeight="1">
      <c r="A34" s="4" t="inlineStr">
        <is>
          <t>MBSr</t>
        </is>
      </c>
      <c r="B34" s="6" t="n">
        <v>54</v>
      </c>
      <c r="C34" s="4" t="inlineStr">
        <is>
          <t>kN</t>
        </is>
      </c>
      <c r="D34" s="4" t="inlineStr">
        <is>
          <t>§5.3</t>
        </is>
      </c>
    </row>
    <row r="35" ht="32" customHeight="1">
      <c r="A35" s="5" t="inlineStr">
        <is>
          <t>alpha</t>
        </is>
      </c>
      <c r="B35" s="7" t="n">
        <v>45</v>
      </c>
      <c r="C35" s="5" t="inlineStr">
        <is>
          <t>°</t>
        </is>
      </c>
      <c r="D35" s="5" t="inlineStr">
        <is>
          <t>§5.3</t>
        </is>
      </c>
    </row>
    <row r="36" ht="32" customHeight="1">
      <c r="A36" s="4" t="inlineStr">
        <is>
          <t>FSc</t>
        </is>
      </c>
      <c r="B36" s="6" t="n">
        <v>2</v>
      </c>
      <c r="C36" s="4" t="inlineStr">
        <is>
          <t>—</t>
        </is>
      </c>
      <c r="D36" s="4" t="inlineStr">
        <is>
          <t>§7.13</t>
        </is>
      </c>
    </row>
    <row r="37" ht="32" customHeight="1">
      <c r="A37" s="5" t="inlineStr">
        <is>
          <t>FSr</t>
        </is>
      </c>
      <c r="B37" s="7" t="n">
        <v>3</v>
      </c>
      <c r="C37" s="5" t="inlineStr">
        <is>
          <t>—</t>
        </is>
      </c>
      <c r="D37" s="5" t="inlineStr">
        <is>
          <t>§7.14</t>
        </is>
      </c>
    </row>
    <row r="38" ht="32" customHeight="1">
      <c r="A38" s="4" t="inlineStr">
        <is>
          <t>FSbase</t>
        </is>
      </c>
      <c r="B38" s="6" t="n">
        <v>1.5</v>
      </c>
      <c r="C38" s="4" t="inlineStr">
        <is>
          <t>—</t>
        </is>
      </c>
      <c r="D38" s="4" t="inlineStr">
        <is>
          <t>§7.16</t>
        </is>
      </c>
    </row>
    <row r="39" ht="32" customHeight="1">
      <c r="A39" s="5" t="inlineStr">
        <is>
          <t>FSv</t>
        </is>
      </c>
      <c r="B39" s="7" t="n">
        <v>1.5</v>
      </c>
      <c r="C39" s="5" t="inlineStr">
        <is>
          <t>—</t>
        </is>
      </c>
      <c r="D39" s="5" t="inlineStr">
        <is>
          <t>§7.15</t>
        </is>
      </c>
    </row>
    <row r="40" ht="32" customHeight="1">
      <c r="A40" s="4" t="inlineStr">
        <is>
          <t>FSh</t>
        </is>
      </c>
      <c r="B40" s="6" t="n">
        <v>2</v>
      </c>
      <c r="C40" s="4" t="inlineStr">
        <is>
          <t>—</t>
        </is>
      </c>
      <c r="D40" s="4" t="inlineStr">
        <is>
          <t>§7.15</t>
        </is>
      </c>
    </row>
    <row r="41" ht="32" customHeight="1">
      <c r="A41" s="5" t="inlineStr">
        <is>
          <t>fc</t>
        </is>
      </c>
      <c r="B41" s="7" t="n">
        <v>48.5</v>
      </c>
      <c r="C41" s="5" t="inlineStr">
        <is>
          <t>MPa</t>
        </is>
      </c>
      <c r="D41" s="5" t="inlineStr">
        <is>
          <t>§7.17 referencia del documento</t>
        </is>
      </c>
    </row>
    <row r="42" ht="32" customHeight="1">
      <c r="A42" s="4" t="inlineStr">
        <is>
          <t>pasoamarre</t>
        </is>
      </c>
      <c r="B42" s="6" t="n">
        <v>0.3</v>
      </c>
      <c r="C42" s="4" t="inlineStr">
        <is>
          <t>m</t>
        </is>
      </c>
      <c r="D42" s="4" t="inlineStr">
        <is>
          <t>§5.4</t>
        </is>
      </c>
    </row>
    <row r="43" ht="32" customHeight="1">
      <c r="A43" s="5" t="inlineStr">
        <is>
          <t>Bmuerto</t>
        </is>
      </c>
      <c r="B43" s="7" t="n">
        <v>1</v>
      </c>
      <c r="C43" s="5" t="inlineStr">
        <is>
          <t>m</t>
        </is>
      </c>
      <c r="D43" s="5" t="inlineStr">
        <is>
          <t>§5.3</t>
        </is>
      </c>
    </row>
    <row r="44" ht="32" customHeight="1">
      <c r="A44" s="4" t="inlineStr">
        <is>
          <t>tmuerto</t>
        </is>
      </c>
      <c r="B44" s="6" t="n">
        <v>0.6</v>
      </c>
      <c r="C44" s="4" t="inlineStr">
        <is>
          <t>m</t>
        </is>
      </c>
      <c r="D44" s="4" t="inlineStr">
        <is>
          <t>§5.3</t>
        </is>
      </c>
    </row>
    <row r="45" ht="32" customHeight="1">
      <c r="A45" s="5" t="inlineStr">
        <is>
          <t>Hmuerto</t>
        </is>
      </c>
      <c r="B45" s="7" t="n">
        <v>0.6</v>
      </c>
      <c r="C45" s="5" t="inlineStr">
        <is>
          <t>m</t>
        </is>
      </c>
      <c r="D45" s="5" t="inlineStr">
        <is>
          <t>§5.3</t>
        </is>
      </c>
    </row>
    <row r="46" ht="32" customHeight="1">
      <c r="A46" s="4" t="inlineStr">
        <is>
          <t>zmuerto</t>
        </is>
      </c>
      <c r="B46" s="6" t="n">
        <v>0.6</v>
      </c>
      <c r="C46" s="4" t="inlineStr">
        <is>
          <t>m</t>
        </is>
      </c>
      <c r="D46" s="4" t="inlineStr">
        <is>
          <t>§5.3 techo</t>
        </is>
      </c>
    </row>
    <row r="47" ht="32" customHeight="1">
      <c r="A47" s="5" t="inlineStr">
        <is>
          <t>Bext</t>
        </is>
      </c>
      <c r="B47" s="7" t="n">
        <v>1.5</v>
      </c>
      <c r="C47" s="5" t="inlineStr">
        <is>
          <t>m</t>
        </is>
      </c>
      <c r="D47" s="5" t="inlineStr">
        <is>
          <t>§7.18</t>
        </is>
      </c>
    </row>
    <row r="48" ht="32" customHeight="1">
      <c r="A48" s="4" t="inlineStr">
        <is>
          <t>text</t>
        </is>
      </c>
      <c r="B48" s="6" t="n">
        <v>1</v>
      </c>
      <c r="C48" s="4" t="inlineStr">
        <is>
          <t>m</t>
        </is>
      </c>
      <c r="D48" s="4" t="inlineStr">
        <is>
          <t>§7.18</t>
        </is>
      </c>
    </row>
    <row r="49" ht="32" customHeight="1">
      <c r="A49" s="5" t="inlineStr">
        <is>
          <t>Hext</t>
        </is>
      </c>
      <c r="B49" s="7" t="n">
        <v>1</v>
      </c>
      <c r="C49" s="5" t="inlineStr">
        <is>
          <t>m</t>
        </is>
      </c>
      <c r="D49" s="5" t="inlineStr">
        <is>
          <t>§7.18</t>
        </is>
      </c>
    </row>
    <row r="50" ht="32" customHeight="1">
      <c r="A50" s="4" t="inlineStr">
        <is>
          <t>zext</t>
        </is>
      </c>
      <c r="B50" s="6" t="n">
        <v>0.5</v>
      </c>
      <c r="C50" s="4" t="inlineStr">
        <is>
          <t>m</t>
        </is>
      </c>
      <c r="D50" s="4" t="inlineStr">
        <is>
          <t>§7.18 techo</t>
        </is>
      </c>
    </row>
    <row r="51" ht="32" customHeight="1">
      <c r="A51" s="5" t="inlineStr">
        <is>
          <t>Ltramo</t>
        </is>
      </c>
      <c r="B51" s="7" t="n">
        <v>50</v>
      </c>
      <c r="C51" s="5" t="inlineStr">
        <is>
          <t>m</t>
        </is>
      </c>
      <c r="D51" s="5" t="inlineStr">
        <is>
          <t>§7.18 módulo documental, no metrado OPP</t>
        </is>
      </c>
    </row>
    <row r="52" ht="32" customHeight="1">
      <c r="A52" s="4" t="inlineStr">
        <is>
          <t>separacion</t>
        </is>
      </c>
      <c r="B52" s="6" t="n">
        <v>2.5</v>
      </c>
      <c r="C52" s="4" t="inlineStr">
        <is>
          <t>m</t>
        </is>
      </c>
      <c r="D52" s="4" t="inlineStr">
        <is>
          <t>§5.1</t>
        </is>
      </c>
    </row>
    <row r="53" ht="32" customHeight="1">
      <c r="A53" s="5" t="inlineStr">
        <is>
          <t>dvarilla</t>
        </is>
      </c>
      <c r="B53" s="7" t="n">
        <v>19.05</v>
      </c>
      <c r="C53" s="5" t="inlineStr">
        <is>
          <t>mm</t>
        </is>
      </c>
      <c r="D53" s="5" t="inlineStr">
        <is>
          <t>§5.3 Ø3/4 in</t>
        </is>
      </c>
    </row>
    <row r="54" ht="32" customHeight="1">
      <c r="A54" s="4" t="inlineStr">
        <is>
          <t>borde_libre</t>
        </is>
      </c>
      <c r="B54" s="6" t="n">
        <v>0.3</v>
      </c>
      <c r="C54" s="4" t="inlineStr">
        <is>
          <t>m</t>
        </is>
      </c>
      <c r="D54" s="4" t="inlineStr">
        <is>
          <t>§7.2</t>
        </is>
      </c>
    </row>
  </sheetData>
  <autoFilter ref="A3:D54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BLOQUE, ENERGÍA, FUERZA E INTERCEPTACIÓN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Ed S1</t>
        </is>
      </c>
      <c r="B4" s="8">
        <f>Entradas!$B$6*Entradas!$B$8</f>
        <v/>
      </c>
      <c r="C4" s="4" t="inlineStr">
        <is>
          <t>kJ</t>
        </is>
      </c>
      <c r="D4" s="4" t="inlineStr">
        <is>
          <t>Demanda documental</t>
        </is>
      </c>
    </row>
    <row r="5" ht="32" customHeight="1">
      <c r="A5" s="5" t="inlineStr">
        <is>
          <t>Ed S2</t>
        </is>
      </c>
      <c r="B5" s="9">
        <f>Entradas!$B$7*Entradas!$B$8</f>
        <v/>
      </c>
      <c r="C5" s="5" t="inlineStr">
        <is>
          <t>kJ</t>
        </is>
      </c>
      <c r="D5" s="5" t="inlineStr">
        <is>
          <t>Envolvente documental</t>
        </is>
      </c>
    </row>
    <row r="6" ht="32" customHeight="1">
      <c r="A6" s="4" t="inlineStr">
        <is>
          <t>F S1</t>
        </is>
      </c>
      <c r="B6" s="8">
        <f>2*B4/Entradas!$B$9</f>
        <v/>
      </c>
      <c r="C6" s="4" t="inlineStr">
        <is>
          <t>kN</t>
        </is>
      </c>
      <c r="D6" s="4" t="inlineStr">
        <is>
          <t>Pico lineal</t>
        </is>
      </c>
    </row>
    <row r="7" ht="32" customHeight="1">
      <c r="A7" s="5" t="inlineStr">
        <is>
          <t>F S2</t>
        </is>
      </c>
      <c r="B7" s="9">
        <f>2*B5/Entradas!$B$9</f>
        <v/>
      </c>
      <c r="C7" s="5" t="inlineStr">
        <is>
          <t>kN</t>
        </is>
      </c>
      <c r="D7" s="5" t="inlineStr">
        <is>
          <t>Pico lineal</t>
        </is>
      </c>
    </row>
    <row r="8" ht="32" customHeight="1">
      <c r="A8" s="4" t="inlineStr">
        <is>
          <t>Volumen bloque</t>
        </is>
      </c>
      <c r="B8" s="8">
        <f>PI()*Entradas!$B$5^3/6</f>
        <v/>
      </c>
      <c r="C8" s="4" t="inlineStr">
        <is>
          <t>m³</t>
        </is>
      </c>
      <c r="D8" s="4" t="inlineStr">
        <is>
          <t>Esfera equivalente</t>
        </is>
      </c>
    </row>
    <row r="9" ht="32" customHeight="1">
      <c r="A9" s="5" t="inlineStr">
        <is>
          <t>Densidad bloque</t>
        </is>
      </c>
      <c r="B9" s="9">
        <f>Entradas!$B$4/B8</f>
        <v/>
      </c>
      <c r="C9" s="5" t="inlineStr">
        <is>
          <t>kg/m³</t>
        </is>
      </c>
      <c r="D9" s="5" t="inlineStr">
        <is>
          <t>Consistencia geométrica</t>
        </is>
      </c>
    </row>
    <row r="10" ht="32" customHeight="1">
      <c r="A10" s="4" t="inlineStr">
        <is>
          <t>H requerida</t>
        </is>
      </c>
      <c r="B10" s="8">
        <f>Entradas!$B$24+Entradas!$B$5+Entradas!$B$54</f>
        <v/>
      </c>
      <c r="C10" s="4" t="inlineStr">
        <is>
          <t>m</t>
        </is>
      </c>
      <c r="D10" s="4" t="inlineStr">
        <is>
          <t>Convención del Anexo</t>
        </is>
      </c>
    </row>
    <row r="11" ht="32" customHeight="1">
      <c r="A11" s="5" t="inlineStr">
        <is>
          <t>Fmedia S2</t>
        </is>
      </c>
      <c r="B11" s="9">
        <f>B5/Entradas!$B$9</f>
        <v/>
      </c>
      <c r="C11" s="5" t="inlineStr">
        <is>
          <t>kN</t>
        </is>
      </c>
      <c r="D11" s="5" t="inlineStr">
        <is>
          <t>No sustituye el pico</t>
        </is>
      </c>
    </row>
  </sheetData>
  <autoFilter ref="A3:D1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DOBLE MALLA — COMPROBACIÓN NOMINAL DEL ANEXO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theta</t>
        </is>
      </c>
      <c r="B4" s="8">
        <f>ATAN(Entradas!$B$10/Entradas!$B$11)</f>
        <v/>
      </c>
      <c r="C4" s="4" t="inlineStr">
        <is>
          <t>rad</t>
        </is>
      </c>
      <c r="D4" s="4" t="inlineStr">
        <is>
          <t>Ángulo de membrana</t>
        </is>
      </c>
    </row>
    <row r="5" ht="32" customHeight="1">
      <c r="A5" s="5" t="inlineStr">
        <is>
          <t>Aw</t>
        </is>
      </c>
      <c r="B5" s="9">
        <f>PI()*Entradas!$B$14^2/4</f>
        <v/>
      </c>
      <c r="C5" s="5" t="inlineStr">
        <is>
          <t>mm²</t>
        </is>
      </c>
      <c r="D5" s="5" t="inlineStr">
        <is>
          <t>Área de alambre</t>
        </is>
      </c>
    </row>
    <row r="6" ht="32" customHeight="1">
      <c r="A6" s="4" t="inlineStr">
        <is>
          <t>Tw</t>
        </is>
      </c>
      <c r="B6" s="8">
        <f>B5*Entradas!$B$15/1000</f>
        <v/>
      </c>
      <c r="C6" s="4" t="inlineStr">
        <is>
          <t>kN</t>
        </is>
      </c>
      <c r="D6" s="4" t="inlineStr">
        <is>
          <t>Rotura ideal de alambre</t>
        </is>
      </c>
    </row>
    <row r="7" ht="32" customHeight="1">
      <c r="A7" s="5" t="inlineStr">
        <is>
          <t>nw</t>
        </is>
      </c>
      <c r="B7" s="9">
        <f>Entradas!$B$13*Entradas!$B$12/Entradas!$B$16</f>
        <v/>
      </c>
      <c r="C7" s="5" t="inlineStr">
        <is>
          <t>—</t>
        </is>
      </c>
      <c r="D7" s="5" t="inlineStr">
        <is>
          <t>Ramas equivalentes, no conteo físico</t>
        </is>
      </c>
    </row>
    <row r="8" ht="32" customHeight="1">
      <c r="A8" s="4" t="inlineStr">
        <is>
          <t>Rm</t>
        </is>
      </c>
      <c r="B8" s="8">
        <f>B6*B7*Entradas!$B$17</f>
        <v/>
      </c>
      <c r="C8" s="4" t="inlineStr">
        <is>
          <t>kN</t>
        </is>
      </c>
      <c r="D8" s="4" t="inlineStr">
        <is>
          <t>Resistencia nominal reducida</t>
        </is>
      </c>
    </row>
    <row r="9" ht="32" customHeight="1">
      <c r="A9" s="5" t="inlineStr">
        <is>
          <t>T S1</t>
        </is>
      </c>
      <c r="B9" s="9">
        <f>Energia!B6/(2*SIN(B4))</f>
        <v/>
      </c>
      <c r="C9" s="5" t="inlineStr">
        <is>
          <t>kN</t>
        </is>
      </c>
      <c r="D9" s="5" t="inlineStr">
        <is>
          <t>Tracción por lado</t>
        </is>
      </c>
    </row>
    <row r="10" ht="32" customHeight="1">
      <c r="A10" s="4" t="inlineStr">
        <is>
          <t>T S2</t>
        </is>
      </c>
      <c r="B10" s="8">
        <f>Energia!B7/(2*SIN(B4))</f>
        <v/>
      </c>
      <c r="C10" s="4" t="inlineStr">
        <is>
          <t>kN</t>
        </is>
      </c>
      <c r="D10" s="4" t="inlineStr">
        <is>
          <t>Tracción por lado</t>
        </is>
      </c>
    </row>
    <row r="11" ht="32" customHeight="1">
      <c r="A11" s="5" t="inlineStr">
        <is>
          <t>RU S1</t>
        </is>
      </c>
      <c r="B11" s="9">
        <f>B9/B8</f>
        <v/>
      </c>
      <c r="C11" s="5" t="inlineStr">
        <is>
          <t>—</t>
        </is>
      </c>
      <c r="D11" s="5" t="inlineStr">
        <is>
          <t>Comparación nominal</t>
        </is>
      </c>
    </row>
    <row r="12" ht="32" customHeight="1">
      <c r="A12" s="4" t="inlineStr">
        <is>
          <t>RU S2</t>
        </is>
      </c>
      <c r="B12" s="8">
        <f>B10/B8</f>
        <v/>
      </c>
      <c r="C12" s="4" t="inlineStr">
        <is>
          <t>—</t>
        </is>
      </c>
      <c r="D12" s="4" t="inlineStr">
        <is>
          <t>No certifica energía absorbible</t>
        </is>
      </c>
    </row>
    <row r="13" ht="32" customHeight="1">
      <c r="A13" s="5" t="inlineStr">
        <is>
          <t>b mínimo</t>
        </is>
      </c>
      <c r="B13" s="9">
        <f>B10/B8*Entradas!$B$12</f>
        <v/>
      </c>
      <c r="C13" s="5" t="inlineStr">
        <is>
          <t>m</t>
        </is>
      </c>
      <c r="D13" s="5" t="inlineStr">
        <is>
          <t>Mismo mecanismo documental</t>
        </is>
      </c>
    </row>
    <row r="14" ht="32" customHeight="1">
      <c r="A14" s="4" t="inlineStr">
        <is>
          <t>eta mínimo</t>
        </is>
      </c>
      <c r="B14" s="8">
        <f>B10/(B6*B7)</f>
        <v/>
      </c>
      <c r="C14" s="4" t="inlineStr">
        <is>
          <t>—</t>
        </is>
      </c>
      <c r="D14" s="4" t="inlineStr">
        <is>
          <t>Mismo ancho equivalente</t>
        </is>
      </c>
    </row>
    <row r="15" ht="32" customHeight="1">
      <c r="A15" s="5" t="inlineStr">
        <is>
          <t>RU una capa</t>
        </is>
      </c>
      <c r="B15" s="9">
        <f>B12*Entradas!$B$13</f>
        <v/>
      </c>
      <c r="C15" s="5" t="inlineStr">
        <is>
          <t>—</t>
        </is>
      </c>
      <c r="D15" s="5" t="inlineStr">
        <is>
          <t>Sensibilidad de capas</t>
        </is>
      </c>
    </row>
    <row r="16" ht="32" customHeight="1">
      <c r="A16" s="4" t="inlineStr">
        <is>
          <t>T un solo paño</t>
        </is>
      </c>
      <c r="B16" s="8">
        <f>Energia!B7/(2*SIN(ATAN(Entradas!$B$10/(Entradas!$B$52/2))))</f>
        <v/>
      </c>
      <c r="C16" s="4" t="inlineStr">
        <is>
          <t>kN</t>
        </is>
      </c>
      <c r="D16" s="4" t="inlineStr">
        <is>
          <t>Mecanismo geométrico distinto</t>
        </is>
      </c>
    </row>
    <row r="17" ht="32" customHeight="1">
      <c r="A17" s="5" t="inlineStr">
        <is>
          <t>varepsilon geom</t>
        </is>
      </c>
      <c r="B17" s="9">
        <f>SQRT(Entradas!$B$11^2+Entradas!$B$10^2)/Entradas!$B$11-1</f>
        <v/>
      </c>
      <c r="C17" s="5" t="inlineStr">
        <is>
          <t>—</t>
        </is>
      </c>
      <c r="D17" s="5" t="inlineStr">
        <is>
          <t>No es deformación admisible de material</t>
        </is>
      </c>
    </row>
  </sheetData>
  <autoFilter ref="A3:D17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POSTES DE EUCALIPTO — CASOS V Y A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A</t>
        </is>
      </c>
      <c r="B4" s="8">
        <f>PI()*Entradas!$B$18^2/4</f>
        <v/>
      </c>
      <c r="C4" s="4" t="inlineStr">
        <is>
          <t>m²</t>
        </is>
      </c>
      <c r="D4" s="4" t="inlineStr">
        <is>
          <t>Sección circular</t>
        </is>
      </c>
    </row>
    <row r="5" ht="32" customHeight="1">
      <c r="A5" s="5" t="inlineStr">
        <is>
          <t>I</t>
        </is>
      </c>
      <c r="B5" s="9">
        <f>PI()*Entradas!$B$18^4/64</f>
        <v/>
      </c>
      <c r="C5" s="5" t="inlineStr">
        <is>
          <t>m⁴</t>
        </is>
      </c>
      <c r="D5" s="5" t="inlineStr">
        <is>
          <t>Inercia</t>
        </is>
      </c>
    </row>
    <row r="6" ht="32" customHeight="1">
      <c r="A6" s="4" t="inlineStr">
        <is>
          <t>Z</t>
        </is>
      </c>
      <c r="B6" s="8">
        <f>PI()*Entradas!$B$18^3/32</f>
        <v/>
      </c>
      <c r="C6" s="4" t="inlineStr">
        <is>
          <t>m³</t>
        </is>
      </c>
      <c r="D6" s="4" t="inlineStr">
        <is>
          <t>Módulo resistente</t>
        </is>
      </c>
    </row>
    <row r="7" ht="32" customHeight="1">
      <c r="A7" s="5" t="inlineStr">
        <is>
          <t>Fp S1</t>
        </is>
      </c>
      <c r="B7" s="9">
        <f>Energia!B6/Entradas!$B$20</f>
        <v/>
      </c>
      <c r="C7" s="5" t="inlineStr">
        <is>
          <t>kN</t>
        </is>
      </c>
      <c r="D7" s="5" t="inlineStr">
        <is>
          <t>Reparto del Anexo</t>
        </is>
      </c>
    </row>
    <row r="8" ht="32" customHeight="1">
      <c r="A8" s="4" t="inlineStr">
        <is>
          <t>Fp S2</t>
        </is>
      </c>
      <c r="B8" s="8">
        <f>Energia!B7/Entradas!$B$20</f>
        <v/>
      </c>
      <c r="C8" s="4" t="inlineStr">
        <is>
          <t>kN</t>
        </is>
      </c>
      <c r="D8" s="4" t="inlineStr">
        <is>
          <t>Reparto del Anexo</t>
        </is>
      </c>
    </row>
    <row r="9" ht="32" customHeight="1">
      <c r="A9" s="5" t="inlineStr">
        <is>
          <t>Mv S1</t>
        </is>
      </c>
      <c r="B9" s="9">
        <f>B7*Entradas!$B$19</f>
        <v/>
      </c>
      <c r="C9" s="5" t="inlineStr">
        <is>
          <t>kN·m</t>
        </is>
      </c>
      <c r="D9" s="5" t="inlineStr">
        <is>
          <t>Caso V: voladizo</t>
        </is>
      </c>
    </row>
    <row r="10" ht="32" customHeight="1">
      <c r="A10" s="4" t="inlineStr">
        <is>
          <t>Mv S2</t>
        </is>
      </c>
      <c r="B10" s="8">
        <f>B8*Entradas!$B$19</f>
        <v/>
      </c>
      <c r="C10" s="4" t="inlineStr">
        <is>
          <t>kN·m</t>
        </is>
      </c>
      <c r="D10" s="4" t="inlineStr">
        <is>
          <t>Caso V</t>
        </is>
      </c>
    </row>
    <row r="11" ht="32" customHeight="1">
      <c r="A11" s="5" t="inlineStr">
        <is>
          <t>sigma S1</t>
        </is>
      </c>
      <c r="B11" s="9">
        <f>B9/B6/1000</f>
        <v/>
      </c>
      <c r="C11" s="5" t="inlineStr">
        <is>
          <t>MPa</t>
        </is>
      </c>
      <c r="D11" s="5" t="inlineStr">
        <is>
          <t>Caso V</t>
        </is>
      </c>
    </row>
    <row r="12" ht="32" customHeight="1">
      <c r="A12" s="4" t="inlineStr">
        <is>
          <t>sigma S2</t>
        </is>
      </c>
      <c r="B12" s="8">
        <f>B10/B6/1000</f>
        <v/>
      </c>
      <c r="C12" s="4" t="inlineStr">
        <is>
          <t>MPa</t>
        </is>
      </c>
      <c r="D12" s="4" t="inlineStr">
        <is>
          <t>Caso V</t>
        </is>
      </c>
    </row>
    <row r="13" ht="32" customHeight="1">
      <c r="A13" s="5" t="inlineStr">
        <is>
          <t>RU flex S1</t>
        </is>
      </c>
      <c r="B13" s="9">
        <f>B11/Entradas!$B$21</f>
        <v/>
      </c>
      <c r="C13" s="5" t="inlineStr">
        <is>
          <t>—</t>
        </is>
      </c>
      <c r="D13" s="5" t="inlineStr">
        <is>
          <t>Contra fb del Anexo</t>
        </is>
      </c>
    </row>
    <row r="14" ht="32" customHeight="1">
      <c r="A14" s="4" t="inlineStr">
        <is>
          <t>RU flex S2</t>
        </is>
      </c>
      <c r="B14" s="8">
        <f>B12/Entradas!$B$21</f>
        <v/>
      </c>
      <c r="C14" s="4" t="inlineStr">
        <is>
          <t>—</t>
        </is>
      </c>
      <c r="D14" s="4" t="inlineStr">
        <is>
          <t>Contra fb del Anexo</t>
        </is>
      </c>
    </row>
    <row r="15" ht="32" customHeight="1">
      <c r="A15" s="5" t="inlineStr">
        <is>
          <t>tau S1</t>
        </is>
      </c>
      <c r="B15" s="9">
        <f>4*B7/(3*B4)/1000</f>
        <v/>
      </c>
      <c r="C15" s="5" t="inlineStr">
        <is>
          <t>MPa</t>
        </is>
      </c>
      <c r="D15" s="5" t="inlineStr">
        <is>
          <t>Cortante</t>
        </is>
      </c>
    </row>
    <row r="16" ht="32" customHeight="1">
      <c r="A16" s="4" t="inlineStr">
        <is>
          <t>tau S2</t>
        </is>
      </c>
      <c r="B16" s="8">
        <f>4*B8/(3*B4)/1000</f>
        <v/>
      </c>
      <c r="C16" s="4" t="inlineStr">
        <is>
          <t>MPa</t>
        </is>
      </c>
      <c r="D16" s="4" t="inlineStr">
        <is>
          <t>Cortante</t>
        </is>
      </c>
    </row>
    <row r="17" ht="32" customHeight="1">
      <c r="A17" s="5" t="inlineStr">
        <is>
          <t>RU corte S1</t>
        </is>
      </c>
      <c r="B17" s="9">
        <f>B15/Entradas!$B$22</f>
        <v/>
      </c>
      <c r="C17" s="5" t="inlineStr">
        <is>
          <t>—</t>
        </is>
      </c>
      <c r="D17" s="5" t="inlineStr">
        <is>
          <t>Contra fv del Anexo</t>
        </is>
      </c>
    </row>
    <row r="18" ht="32" customHeight="1">
      <c r="A18" s="4" t="inlineStr">
        <is>
          <t>RU corte S2</t>
        </is>
      </c>
      <c r="B18" s="8">
        <f>B16/Entradas!$B$22</f>
        <v/>
      </c>
      <c r="C18" s="4" t="inlineStr">
        <is>
          <t>—</t>
        </is>
      </c>
      <c r="D18" s="4" t="inlineStr">
        <is>
          <t>Contra fv del Anexo</t>
        </is>
      </c>
    </row>
    <row r="19" ht="32" customHeight="1">
      <c r="A19" s="5" t="inlineStr">
        <is>
          <t>Delta S1</t>
        </is>
      </c>
      <c r="B19" s="9">
        <f>B7*Entradas!$B$19^3/(3*Entradas!$B$23*1000*B5)</f>
        <v/>
      </c>
      <c r="C19" s="5" t="inlineStr">
        <is>
          <t>m</t>
        </is>
      </c>
      <c r="D19" s="5" t="inlineStr">
        <is>
          <t>Elasticidad del eucalipto, caso V</t>
        </is>
      </c>
    </row>
    <row r="20" ht="32" customHeight="1">
      <c r="A20" s="4" t="inlineStr">
        <is>
          <t>Delta S2</t>
        </is>
      </c>
      <c r="B20" s="8">
        <f>B8*Entradas!$B$19^3/(3*Entradas!$B$23*1000*B5)</f>
        <v/>
      </c>
      <c r="C20" s="4" t="inlineStr">
        <is>
          <t>m</t>
        </is>
      </c>
      <c r="D20" s="4" t="inlineStr">
        <is>
          <t>No es el recorrido global de la barrera</t>
        </is>
      </c>
    </row>
    <row r="21" ht="32" customHeight="1">
      <c r="A21" s="5" t="inlineStr">
        <is>
          <t>Mcap</t>
        </is>
      </c>
      <c r="B21" s="9">
        <f>B6*Entradas!$B$21*1000</f>
        <v/>
      </c>
      <c r="C21" s="5" t="inlineStr">
        <is>
          <t>kN·m</t>
        </is>
      </c>
      <c r="D21" s="5" t="inlineStr">
        <is>
          <t>Valor de comparación</t>
        </is>
      </c>
    </row>
    <row r="22" ht="32" customHeight="1">
      <c r="A22" s="4" t="inlineStr">
        <is>
          <t>delta min S1</t>
        </is>
      </c>
      <c r="B22" s="8">
        <f>2*Energia!B4*Entradas!$B$19/(Entradas!$B$20*B21)</f>
        <v/>
      </c>
      <c r="C22" s="4" t="inlineStr">
        <is>
          <t>m</t>
        </is>
      </c>
      <c r="D22" s="4" t="inlineStr">
        <is>
          <t>Por flexión en modelo</t>
        </is>
      </c>
    </row>
    <row r="23" ht="32" customHeight="1">
      <c r="A23" s="5" t="inlineStr">
        <is>
          <t>delta min S2</t>
        </is>
      </c>
      <c r="B23" s="9">
        <f>2*Energia!B5*Entradas!$B$19/(Entradas!$B$20*B21)</f>
        <v/>
      </c>
      <c r="C23" s="5" t="inlineStr">
        <is>
          <t>m</t>
        </is>
      </c>
      <c r="D23" s="5" t="inlineStr">
        <is>
          <t>No prueba recorrido disponible</t>
        </is>
      </c>
    </row>
    <row r="24" ht="32" customHeight="1">
      <c r="A24" s="4" t="inlineStr">
        <is>
          <t>hi</t>
        </is>
      </c>
      <c r="B24" s="8">
        <f>Entradas!$B$24+Entradas!$B$5/2</f>
        <v/>
      </c>
      <c r="C24" s="4" t="inlineStr">
        <is>
          <t>m</t>
        </is>
      </c>
      <c r="D24" s="4" t="inlineStr">
        <is>
          <t>Centro de impacto del Anexo</t>
        </is>
      </c>
    </row>
    <row r="25" ht="32" customHeight="1">
      <c r="A25" s="5" t="inlineStr">
        <is>
          <t>Rbase S1</t>
        </is>
      </c>
      <c r="B25" s="9">
        <f>B7*(Entradas!$B$19-B24)/Entradas!$B$19</f>
        <v/>
      </c>
      <c r="C25" s="5" t="inlineStr">
        <is>
          <t>kN</t>
        </is>
      </c>
      <c r="D25" s="5" t="inlineStr">
        <is>
          <t>Caso A: apoyo de cabeza</t>
        </is>
      </c>
    </row>
    <row r="26" ht="32" customHeight="1">
      <c r="A26" s="4" t="inlineStr">
        <is>
          <t>Rbase S2</t>
        </is>
      </c>
      <c r="B26" s="8">
        <f>B8*(Entradas!$B$19-B24)/Entradas!$B$19</f>
        <v/>
      </c>
      <c r="C26" s="4" t="inlineStr">
        <is>
          <t>kN</t>
        </is>
      </c>
      <c r="D26" s="4" t="inlineStr">
        <is>
          <t>Caso A</t>
        </is>
      </c>
    </row>
    <row r="27" ht="32" customHeight="1">
      <c r="A27" s="5" t="inlineStr">
        <is>
          <t>Ma S1</t>
        </is>
      </c>
      <c r="B27" s="9">
        <f>B7*B24*(Entradas!$B$19-B24)/Entradas!$B$19</f>
        <v/>
      </c>
      <c r="C27" s="5" t="inlineStr">
        <is>
          <t>kN·m</t>
        </is>
      </c>
      <c r="D27" s="5" t="inlineStr">
        <is>
          <t>Caso A</t>
        </is>
      </c>
    </row>
    <row r="28" ht="32" customHeight="1">
      <c r="A28" s="4" t="inlineStr">
        <is>
          <t>Ma S2</t>
        </is>
      </c>
      <c r="B28" s="8">
        <f>B8*B24*(Entradas!$B$19-B24)/Entradas!$B$19</f>
        <v/>
      </c>
      <c r="C28" s="4" t="inlineStr">
        <is>
          <t>kN·m</t>
        </is>
      </c>
      <c r="D28" s="4" t="inlineStr">
        <is>
          <t>Caso A</t>
        </is>
      </c>
    </row>
    <row r="29" ht="32" customHeight="1">
      <c r="A29" s="5" t="inlineStr">
        <is>
          <t>RU flex A S1</t>
        </is>
      </c>
      <c r="B29" s="9">
        <f>B27/B6/1000/Entradas!$B$21</f>
        <v/>
      </c>
      <c r="C29" s="5" t="inlineStr">
        <is>
          <t>—</t>
        </is>
      </c>
      <c r="D29" s="5" t="inlineStr">
        <is>
          <t>Con retenida efectiva</t>
        </is>
      </c>
    </row>
    <row r="30" ht="32" customHeight="1">
      <c r="A30" s="4" t="inlineStr">
        <is>
          <t>RU flex A S2</t>
        </is>
      </c>
      <c r="B30" s="8">
        <f>B28/B6/1000/Entradas!$B$21</f>
        <v/>
      </c>
      <c r="C30" s="4" t="inlineStr">
        <is>
          <t>—</t>
        </is>
      </c>
      <c r="D30" s="4" t="inlineStr">
        <is>
          <t>Con retenida efectiva</t>
        </is>
      </c>
    </row>
    <row r="31" ht="32" customHeight="1">
      <c r="A31" s="5" t="inlineStr">
        <is>
          <t>U postes S2</t>
        </is>
      </c>
      <c r="B31" s="9">
        <f>Entradas!$B$20*0.5*B8*B20</f>
        <v/>
      </c>
      <c r="C31" s="5" t="inlineStr">
        <is>
          <t>kJ</t>
        </is>
      </c>
      <c r="D31" s="5" t="inlineStr">
        <is>
          <t>Aporte elástico en caso V</t>
        </is>
      </c>
    </row>
  </sheetData>
  <autoFilter ref="A3:D3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PERIMETRALES, TERMINALES Y DIAGONALES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Tc S1</t>
        </is>
      </c>
      <c r="B4" s="8">
        <f>Malla!B9/2</f>
        <v/>
      </c>
      <c r="C4" s="4" t="inlineStr">
        <is>
          <t>kN</t>
        </is>
      </c>
      <c r="D4" s="4" t="inlineStr">
        <is>
          <t>Reparto igual entre dos cables</t>
        </is>
      </c>
    </row>
    <row r="5" ht="32" customHeight="1">
      <c r="A5" s="5" t="inlineStr">
        <is>
          <t>Tc S2</t>
        </is>
      </c>
      <c r="B5" s="9">
        <f>Malla!B10/2</f>
        <v/>
      </c>
      <c r="C5" s="5" t="inlineStr">
        <is>
          <t>kN</t>
        </is>
      </c>
      <c r="D5" s="5" t="inlineStr">
        <is>
          <t>Reparto igual</t>
        </is>
      </c>
    </row>
    <row r="6" ht="32" customHeight="1">
      <c r="A6" s="4" t="inlineStr">
        <is>
          <t>FS S1</t>
        </is>
      </c>
      <c r="B6" s="8">
        <f>Entradas!$B$33/B4</f>
        <v/>
      </c>
      <c r="C6" s="4" t="inlineStr">
        <is>
          <t>—</t>
        </is>
      </c>
      <c r="D6" s="4" t="inlineStr">
        <is>
          <t>Rotura nominal, sin reducción terminal</t>
        </is>
      </c>
    </row>
    <row r="7" ht="32" customHeight="1">
      <c r="A7" s="5" t="inlineStr">
        <is>
          <t>FS S2</t>
        </is>
      </c>
      <c r="B7" s="9">
        <f>Entradas!$B$33/B5</f>
        <v/>
      </c>
      <c r="C7" s="5" t="inlineStr">
        <is>
          <t>—</t>
        </is>
      </c>
      <c r="D7" s="5" t="inlineStr">
        <is>
          <t>Rotura nominal, sin reducción terminal</t>
        </is>
      </c>
    </row>
    <row r="8" ht="32" customHeight="1">
      <c r="A8" s="4" t="inlineStr">
        <is>
          <t>eta terminal S1</t>
        </is>
      </c>
      <c r="B8" s="8">
        <f>Entradas!$B$36*B4/Entradas!$B$33</f>
        <v/>
      </c>
      <c r="C8" s="4" t="inlineStr">
        <is>
          <t>—</t>
        </is>
      </c>
      <c r="D8" s="4" t="inlineStr">
        <is>
          <t>Eficiencia mínima</t>
        </is>
      </c>
    </row>
    <row r="9" ht="32" customHeight="1">
      <c r="A9" s="5" t="inlineStr">
        <is>
          <t>eta terminal S2</t>
        </is>
      </c>
      <c r="B9" s="9">
        <f>Entradas!$B$36*B5/Entradas!$B$33</f>
        <v/>
      </c>
      <c r="C9" s="5" t="inlineStr">
        <is>
          <t>—</t>
        </is>
      </c>
      <c r="D9" s="5" t="inlineStr">
        <is>
          <t>Eficiencia mínima</t>
        </is>
      </c>
    </row>
    <row r="10" ht="32" customHeight="1">
      <c r="A10" s="4" t="inlineStr">
        <is>
          <t>diagonal</t>
        </is>
      </c>
      <c r="B10" s="8">
        <f>SQRT(Entradas!$B$52^2+Entradas!$B$19^2)</f>
        <v/>
      </c>
      <c r="C10" s="4" t="inlineStr">
        <is>
          <t>m</t>
        </is>
      </c>
      <c r="D10" s="4" t="inlineStr">
        <is>
          <t>Geometría en plano</t>
        </is>
      </c>
    </row>
    <row r="11" ht="32" customHeight="1">
      <c r="A11" s="5" t="inlineStr">
        <is>
          <t>dos diagonales</t>
        </is>
      </c>
      <c r="B11" s="9">
        <f>2*B10</f>
        <v/>
      </c>
      <c r="C11" s="5" t="inlineStr">
        <is>
          <t>m</t>
        </is>
      </c>
      <c r="D11" s="5" t="inlineStr">
        <is>
          <t>No calcula fuerza normal al paño</t>
        </is>
      </c>
    </row>
    <row r="12" ht="32" customHeight="1">
      <c r="A12" s="4" t="inlineStr">
        <is>
          <t>FS cable único</t>
        </is>
      </c>
      <c r="B12" s="8">
        <f>Entradas!$B$33/Malla!B10</f>
        <v/>
      </c>
      <c r="C12" s="4" t="inlineStr">
        <is>
          <t>—</t>
        </is>
      </c>
      <c r="D12" s="4" t="inlineStr">
        <is>
          <t>Sensibilidad de reparto</t>
        </is>
      </c>
    </row>
    <row r="13" ht="32" customHeight="1">
      <c r="A13" s="5" t="inlineStr">
        <is>
          <t>amarre tributario</t>
        </is>
      </c>
      <c r="B13" s="9">
        <f>B5*Entradas!$B$42/Entradas!$B$12</f>
        <v/>
      </c>
      <c r="C13" s="5" t="inlineStr">
        <is>
          <t>kN</t>
        </is>
      </c>
      <c r="D13" s="5" t="inlineStr">
        <is>
          <t>Distribución uniforme documental; no resistencia</t>
        </is>
      </c>
    </row>
  </sheetData>
  <autoFilter ref="A3:D13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RETENIDA A 45 GRADOS — ENVOLVENTE DE CABEZA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Tr S1</t>
        </is>
      </c>
      <c r="B4" s="8">
        <f>Postes!B7/COS(RADIANS(Entradas!$B$35))</f>
        <v/>
      </c>
      <c r="C4" s="4" t="inlineStr">
        <is>
          <t>kN</t>
        </is>
      </c>
      <c r="D4" s="4" t="inlineStr">
        <is>
          <t>Envolvente del Anexo</t>
        </is>
      </c>
    </row>
    <row r="5" ht="32" customHeight="1">
      <c r="A5" s="5" t="inlineStr">
        <is>
          <t>Tr S2</t>
        </is>
      </c>
      <c r="B5" s="9">
        <f>Postes!B8/COS(RADIANS(Entradas!$B$35))</f>
        <v/>
      </c>
      <c r="C5" s="5" t="inlineStr">
        <is>
          <t>kN</t>
        </is>
      </c>
      <c r="D5" s="5" t="inlineStr">
        <is>
          <t>Envolvente del Anexo</t>
        </is>
      </c>
    </row>
    <row r="6" ht="32" customHeight="1">
      <c r="A6" s="4" t="inlineStr">
        <is>
          <t>FS S1</t>
        </is>
      </c>
      <c r="B6" s="8">
        <f>Entradas!$B$34/B4</f>
        <v/>
      </c>
      <c r="C6" s="4" t="inlineStr">
        <is>
          <t>—</t>
        </is>
      </c>
      <c r="D6" s="4" t="inlineStr">
        <is>
          <t>Antes de reducción terminal</t>
        </is>
      </c>
    </row>
    <row r="7" ht="32" customHeight="1">
      <c r="A7" s="5" t="inlineStr">
        <is>
          <t>FS S2</t>
        </is>
      </c>
      <c r="B7" s="9">
        <f>Entradas!$B$34/B5</f>
        <v/>
      </c>
      <c r="C7" s="5" t="inlineStr">
        <is>
          <t>—</t>
        </is>
      </c>
      <c r="D7" s="5" t="inlineStr">
        <is>
          <t>Antes de reducción terminal</t>
        </is>
      </c>
    </row>
    <row r="8" ht="32" customHeight="1">
      <c r="A8" s="4" t="inlineStr">
        <is>
          <t>eta terminal S2</t>
        </is>
      </c>
      <c r="B8" s="8">
        <f>Entradas!$B$37*B5/Entradas!$B$34</f>
        <v/>
      </c>
      <c r="C8" s="4" t="inlineStr">
        <is>
          <t>—</t>
        </is>
      </c>
      <c r="D8" s="4" t="inlineStr">
        <is>
          <t>Eficiencia mínima</t>
        </is>
      </c>
    </row>
    <row r="9" ht="32" customHeight="1">
      <c r="A9" s="5" t="inlineStr">
        <is>
          <t>Tr un poste</t>
        </is>
      </c>
      <c r="B9" s="9">
        <f>Energia!B7/COS(RADIANS(Entradas!$B$35))</f>
        <v/>
      </c>
      <c r="C9" s="5" t="inlineStr">
        <is>
          <t>kN</t>
        </is>
      </c>
      <c r="D9" s="5" t="inlineStr">
        <is>
          <t>Sensibilidad de reparto</t>
        </is>
      </c>
    </row>
    <row r="10" ht="32" customHeight="1">
      <c r="A10" s="4" t="inlineStr">
        <is>
          <t>rotura req un poste</t>
        </is>
      </c>
      <c r="B10" s="8">
        <f>B9*Entradas!$B$37</f>
        <v/>
      </c>
      <c r="C10" s="4" t="inlineStr">
        <is>
          <t>kN</t>
        </is>
      </c>
      <c r="D10" s="4" t="inlineStr">
        <is>
          <t>No seleccionar diámetro solo por nominal</t>
        </is>
      </c>
    </row>
    <row r="11" ht="32" customHeight="1">
      <c r="A11" s="5" t="inlineStr">
        <is>
          <t>Ag varilla</t>
        </is>
      </c>
      <c r="B11" s="9">
        <f>PI()*Entradas!$B$53^2/4</f>
        <v/>
      </c>
      <c r="C11" s="5" t="inlineStr">
        <is>
          <t>mm²</t>
        </is>
      </c>
      <c r="D11" s="5" t="inlineStr">
        <is>
          <t>Área bruta, no neta roscada</t>
        </is>
      </c>
    </row>
    <row r="12" ht="32" customHeight="1">
      <c r="A12" s="4" t="inlineStr">
        <is>
          <t>sigma bruta varilla</t>
        </is>
      </c>
      <c r="B12" s="8">
        <f>B5*1000/B11</f>
        <v/>
      </c>
      <c r="C12" s="4" t="inlineStr">
        <is>
          <t>MPa</t>
        </is>
      </c>
      <c r="D12" s="4" t="inlineStr">
        <is>
          <t>No incluye ojal ni flexión</t>
        </is>
      </c>
    </row>
  </sheetData>
  <autoFilter ref="A3:D12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MUERTO DE RETENIDA — PESO, PASIVO Y FRICCIÓN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delta friccion</t>
        </is>
      </c>
      <c r="B4" s="8">
        <f>2*Entradas!$B$26/3</f>
        <v/>
      </c>
      <c r="C4" s="4" t="inlineStr">
        <is>
          <t>°</t>
        </is>
      </c>
      <c r="D4" s="4" t="inlineStr">
        <is>
          <t>Convención de D2</t>
        </is>
      </c>
    </row>
    <row r="5" ht="32" customHeight="1">
      <c r="A5" s="5" t="inlineStr">
        <is>
          <t>mu</t>
        </is>
      </c>
      <c r="B5" s="9">
        <f>TAN(RADIANS(B4))</f>
        <v/>
      </c>
      <c r="C5" s="5" t="inlineStr">
        <is>
          <t>—</t>
        </is>
      </c>
      <c r="D5" s="5" t="inlineStr">
        <is>
          <t>Coeficiente de interfaz</t>
        </is>
      </c>
    </row>
    <row r="6" ht="32" customHeight="1">
      <c r="A6" s="4" t="inlineStr">
        <is>
          <t>Pp</t>
        </is>
      </c>
      <c r="B6" s="8">
        <f>0.5*Entradas!$B$25*Entradas!$B$27*((Entradas!$B$46+Entradas!$B$45)^2-Entradas!$B$46^2)*Entradas!$B$43</f>
        <v/>
      </c>
      <c r="C6" s="4" t="inlineStr">
        <is>
          <t>kN</t>
        </is>
      </c>
      <c r="D6" s="4" t="inlineStr">
        <is>
          <t>Modelo pasivo del Anexo</t>
        </is>
      </c>
    </row>
    <row r="7" ht="32" customHeight="1">
      <c r="A7" s="5" t="inlineStr">
        <is>
          <t>Wc</t>
        </is>
      </c>
      <c r="B7" s="9">
        <f>Entradas!$B$43*Entradas!$B$44*Entradas!$B$45*Entradas!$B$28</f>
        <v/>
      </c>
      <c r="C7" s="5" t="inlineStr">
        <is>
          <t>kN</t>
        </is>
      </c>
      <c r="D7" s="5" t="inlineStr">
        <is>
          <t>Peso concreto</t>
        </is>
      </c>
    </row>
    <row r="8" ht="32" customHeight="1">
      <c r="A8" s="4" t="inlineStr">
        <is>
          <t>Ws</t>
        </is>
      </c>
      <c r="B8" s="8">
        <f>Entradas!$B$43*Entradas!$B$44*Entradas!$B$46*Entradas!$B$25</f>
        <v/>
      </c>
      <c r="C8" s="4" t="inlineStr">
        <is>
          <t>kN</t>
        </is>
      </c>
      <c r="D8" s="4" t="inlineStr">
        <is>
          <t>Peso sobrecarga</t>
        </is>
      </c>
    </row>
    <row r="9" ht="32" customHeight="1">
      <c r="A9" s="5" t="inlineStr">
        <is>
          <t>W</t>
        </is>
      </c>
      <c r="B9" s="9">
        <f>B7+B8</f>
        <v/>
      </c>
      <c r="C9" s="5" t="inlineStr">
        <is>
          <t>kN</t>
        </is>
      </c>
      <c r="D9" s="5" t="inlineStr">
        <is>
          <t>Peso total</t>
        </is>
      </c>
    </row>
    <row r="10" ht="32" customHeight="1">
      <c r="A10" s="4" t="inlineStr">
        <is>
          <t>FSv S1</t>
        </is>
      </c>
      <c r="B10" s="8">
        <f>B9/Postes!B7</f>
        <v/>
      </c>
      <c r="C10" s="4" t="inlineStr">
        <is>
          <t>—</t>
        </is>
      </c>
      <c r="D10" s="4" t="inlineStr">
        <is>
          <t>Comparación vertical</t>
        </is>
      </c>
    </row>
    <row r="11" ht="32" customHeight="1">
      <c r="A11" s="5" t="inlineStr">
        <is>
          <t>FSv S2</t>
        </is>
      </c>
      <c r="B11" s="9">
        <f>B9/Postes!B8</f>
        <v/>
      </c>
      <c r="C11" s="5" t="inlineStr">
        <is>
          <t>—</t>
        </is>
      </c>
      <c r="D11" s="5" t="inlineStr">
        <is>
          <t>Comparación vertical</t>
        </is>
      </c>
    </row>
    <row r="12" ht="32" customHeight="1">
      <c r="A12" s="4" t="inlineStr">
        <is>
          <t>FSh S1</t>
        </is>
      </c>
      <c r="B12" s="8">
        <f>(B6+B5*MAX(0,B9-Postes!B7))/Postes!B7</f>
        <v/>
      </c>
      <c r="C12" s="4" t="inlineStr">
        <is>
          <t>—</t>
        </is>
      </c>
      <c r="D12" s="4" t="inlineStr">
        <is>
          <t>Solo junto con verificación vertical</t>
        </is>
      </c>
    </row>
    <row r="13" ht="32" customHeight="1">
      <c r="A13" s="5" t="inlineStr">
        <is>
          <t>FSh S2</t>
        </is>
      </c>
      <c r="B13" s="9">
        <f>(B6+B5*MAX(0,B9-Postes!B8))/Postes!B8</f>
        <v/>
      </c>
      <c r="C13" s="5" t="inlineStr">
        <is>
          <t>—</t>
        </is>
      </c>
      <c r="D13" s="5" t="inlineStr">
        <is>
          <t>No aceptar si falla levantamiento</t>
        </is>
      </c>
    </row>
    <row r="14" ht="32" customHeight="1">
      <c r="A14" s="4" t="inlineStr">
        <is>
          <t>FSv un poste</t>
        </is>
      </c>
      <c r="B14" s="8">
        <f>B9/Energia!B7</f>
        <v/>
      </c>
      <c r="C14" s="4" t="inlineStr">
        <is>
          <t>—</t>
        </is>
      </c>
      <c r="D14" s="4" t="inlineStr">
        <is>
          <t>Levantamiento falla en caso envolvente</t>
        </is>
      </c>
    </row>
  </sheetData>
  <autoFilter ref="A3:D14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EXPRESIÓN LATERAL SIMPLIFICADA DEL ANEXO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Hu</t>
        </is>
      </c>
      <c r="B4" s="8">
        <f>0.5*Entradas!$B$25*Entradas!$B$29*Entradas!$B$27*Entradas!$B$30^2</f>
        <v/>
      </c>
      <c r="C4" s="4" t="inlineStr">
        <is>
          <t>kN</t>
        </is>
      </c>
      <c r="D4" s="4" t="inlineStr">
        <is>
          <t>No incorpora rotación, borde o rigidez</t>
        </is>
      </c>
    </row>
    <row r="5" ht="32" customHeight="1">
      <c r="A5" s="5" t="inlineStr">
        <is>
          <t>Rbase S1</t>
        </is>
      </c>
      <c r="B5" s="9">
        <f>Postes!B25</f>
        <v/>
      </c>
      <c r="C5" s="5" t="inlineStr">
        <is>
          <t>kN</t>
        </is>
      </c>
      <c r="D5" s="5" t="inlineStr">
        <is>
          <t>Caso A</t>
        </is>
      </c>
    </row>
    <row r="6" ht="32" customHeight="1">
      <c r="A6" s="4" t="inlineStr">
        <is>
          <t>Rbase S2</t>
        </is>
      </c>
      <c r="B6" s="8">
        <f>Postes!B26</f>
        <v/>
      </c>
      <c r="C6" s="4" t="inlineStr">
        <is>
          <t>kN</t>
        </is>
      </c>
      <c r="D6" s="4" t="inlineStr">
        <is>
          <t>Caso A</t>
        </is>
      </c>
    </row>
    <row r="7" ht="32" customHeight="1">
      <c r="A7" s="5" t="inlineStr">
        <is>
          <t>FS S1</t>
        </is>
      </c>
      <c r="B7" s="9">
        <f>B4/B5</f>
        <v/>
      </c>
      <c r="C7" s="5" t="inlineStr">
        <is>
          <t>—</t>
        </is>
      </c>
      <c r="D7" s="5" t="inlineStr">
        <is>
          <t>Modelo documental</t>
        </is>
      </c>
    </row>
    <row r="8" ht="32" customHeight="1">
      <c r="A8" s="4" t="inlineStr">
        <is>
          <t>FS S2</t>
        </is>
      </c>
      <c r="B8" s="8">
        <f>B4/B6</f>
        <v/>
      </c>
      <c r="C8" s="4" t="inlineStr">
        <is>
          <t>—</t>
        </is>
      </c>
      <c r="D8" s="4" t="inlineStr">
        <is>
          <t>Modelo documental</t>
        </is>
      </c>
    </row>
    <row r="9" ht="32" customHeight="1">
      <c r="A9" s="5" t="inlineStr">
        <is>
          <t>Lmin 3 postes</t>
        </is>
      </c>
      <c r="B9" s="9">
        <f>SQRT(2*Entradas!$B$38*B6/(Entradas!$B$25*Entradas!$B$29*Entradas!$B$27))</f>
        <v/>
      </c>
      <c r="C9" s="5" t="inlineStr">
        <is>
          <t>m</t>
        </is>
      </c>
      <c r="D9" s="5" t="inlineStr">
        <is>
          <t>Resultado matemático; no dimensión de obra</t>
        </is>
      </c>
    </row>
    <row r="10" ht="32" customHeight="1">
      <c r="A10" s="4" t="inlineStr">
        <is>
          <t>Lmin un poste</t>
        </is>
      </c>
      <c r="B10" s="8">
        <f>SQRT(2*Entradas!$B$38*B6*Entradas!$B$20/(Entradas!$B$25*Entradas!$B$29*Entradas!$B$27))</f>
        <v/>
      </c>
      <c r="C10" s="4" t="inlineStr">
        <is>
          <t>m</t>
        </is>
      </c>
      <c r="D10" s="4" t="inlineStr">
        <is>
          <t>Misma altura hi</t>
        </is>
      </c>
    </row>
    <row r="11" ht="32" customHeight="1">
      <c r="A11" s="5" t="inlineStr">
        <is>
          <t>Lmin carga baja</t>
        </is>
      </c>
      <c r="B11" s="9">
        <f>SQRT(2*Entradas!$B$38*Energia!B7/(Entradas!$B$25*Entradas!$B$29*Entradas!$B$27))</f>
        <v/>
      </c>
      <c r="C11" s="5" t="inlineStr">
        <is>
          <t>m</t>
        </is>
      </c>
      <c r="D11" s="5" t="inlineStr">
        <is>
          <t>Envolvente Rbase=Fpico</t>
        </is>
      </c>
    </row>
    <row r="12" ht="32" customHeight="1">
      <c r="A12" s="4" t="inlineStr">
        <is>
          <t>Hu L0.40</t>
        </is>
      </c>
      <c r="B12" s="8">
        <f>0.5*Entradas!$B$25*Entradas!$B$29*Entradas!$B$27*0.4^2</f>
        <v/>
      </c>
      <c r="C12" s="4" t="inlineStr">
        <is>
          <t>kN</t>
        </is>
      </c>
      <c r="D12" s="4" t="inlineStr">
        <is>
          <t>40 cm del borrador</t>
        </is>
      </c>
    </row>
    <row r="13" ht="32" customHeight="1">
      <c r="A13" s="5" t="inlineStr">
        <is>
          <t>FS L0.40</t>
        </is>
      </c>
      <c r="B13" s="9">
        <f>B12/B6</f>
        <v/>
      </c>
      <c r="C13" s="5" t="inlineStr">
        <is>
          <t>—</t>
        </is>
      </c>
      <c r="D13" s="5" t="inlineStr">
        <is>
          <t>Demuestra falta de soporte en comparación</t>
        </is>
      </c>
    </row>
  </sheetData>
  <autoFilter ref="A3:D13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ANCLAJES EXTREMOS DE PERIMETRALES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W</t>
        </is>
      </c>
      <c r="B4" s="8">
        <f>Entradas!$B$47*Entradas!$B$48*(Entradas!$B$49*Entradas!$B$28+Entradas!$B$50*Entradas!$B$25)</f>
        <v/>
      </c>
      <c r="C4" s="4" t="inlineStr">
        <is>
          <t>kN</t>
        </is>
      </c>
      <c r="D4" s="4" t="inlineStr">
        <is>
          <t>Bloque + sobrecarga</t>
        </is>
      </c>
    </row>
    <row r="5" ht="32" customHeight="1">
      <c r="A5" s="5" t="inlineStr">
        <is>
          <t>Pp</t>
        </is>
      </c>
      <c r="B5" s="9">
        <f>0.5*Entradas!$B$25*Entradas!$B$27*((Entradas!$B$50+Entradas!$B$49)^2-Entradas!$B$50^2)*Entradas!$B$47</f>
        <v/>
      </c>
      <c r="C5" s="5" t="inlineStr">
        <is>
          <t>kN</t>
        </is>
      </c>
      <c r="D5" s="5" t="inlineStr">
        <is>
          <t>Pasivo del Anexo</t>
        </is>
      </c>
    </row>
    <row r="6" ht="32" customHeight="1">
      <c r="A6" s="4" t="inlineStr">
        <is>
          <t>Fr</t>
        </is>
      </c>
      <c r="B6" s="8">
        <f>B4*Muerto!B5</f>
        <v/>
      </c>
      <c r="C6" s="4" t="inlineStr">
        <is>
          <t>kN</t>
        </is>
      </c>
      <c r="D6" s="4" t="inlineStr">
        <is>
          <t>Fricción de base</t>
        </is>
      </c>
    </row>
    <row r="7" ht="32" customHeight="1">
      <c r="A7" s="5" t="inlineStr">
        <is>
          <t>Rh</t>
        </is>
      </c>
      <c r="B7" s="9">
        <f>B5+B6</f>
        <v/>
      </c>
      <c r="C7" s="5" t="inlineStr">
        <is>
          <t>kN</t>
        </is>
      </c>
      <c r="D7" s="5" t="inlineStr">
        <is>
          <t>Resistencia de comparación</t>
        </is>
      </c>
    </row>
    <row r="8" ht="32" customHeight="1">
      <c r="A8" s="4" t="inlineStr">
        <is>
          <t>H S1</t>
        </is>
      </c>
      <c r="B8" s="8">
        <f>Malla!B9</f>
        <v/>
      </c>
      <c r="C8" s="4" t="inlineStr">
        <is>
          <t>kN</t>
        </is>
      </c>
      <c r="D8" s="4" t="inlineStr">
        <is>
          <t>Dos perimetrales, misma dirección</t>
        </is>
      </c>
    </row>
    <row r="9" ht="32" customHeight="1">
      <c r="A9" s="5" t="inlineStr">
        <is>
          <t>H S2</t>
        </is>
      </c>
      <c r="B9" s="9">
        <f>Malla!B10</f>
        <v/>
      </c>
      <c r="C9" s="5" t="inlineStr">
        <is>
          <t>kN</t>
        </is>
      </c>
      <c r="D9" s="5" t="inlineStr">
        <is>
          <t>Dos perimetrales</t>
        </is>
      </c>
    </row>
    <row r="10" ht="32" customHeight="1">
      <c r="A10" s="4" t="inlineStr">
        <is>
          <t>FS S1</t>
        </is>
      </c>
      <c r="B10" s="8">
        <f>B7/B8</f>
        <v/>
      </c>
      <c r="C10" s="4" t="inlineStr">
        <is>
          <t>—</t>
        </is>
      </c>
      <c r="D10" s="4" t="inlineStr">
        <is>
          <t>No incluye fuerzas de esquina</t>
        </is>
      </c>
    </row>
    <row r="11" ht="32" customHeight="1">
      <c r="A11" s="5" t="inlineStr">
        <is>
          <t>FS S2</t>
        </is>
      </c>
      <c r="B11" s="9">
        <f>B7/B9</f>
        <v/>
      </c>
      <c r="C11" s="5" t="inlineStr">
        <is>
          <t>—</t>
        </is>
      </c>
      <c r="D11" s="5" t="inlineStr">
        <is>
          <t>No incluye varias direcciones</t>
        </is>
      </c>
    </row>
  </sheetData>
  <autoFilter ref="A3:D1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PRESIÓN DE APOYO — COMPARACIÓN DEL ANEXO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Ad</t>
        </is>
      </c>
      <c r="B4" s="8">
        <f>PI()*Entradas!$B$29^2/4</f>
        <v/>
      </c>
      <c r="C4" s="4" t="inlineStr">
        <is>
          <t>m²</t>
        </is>
      </c>
      <c r="D4" s="4" t="inlineStr">
        <is>
          <t>Base circular</t>
        </is>
      </c>
    </row>
    <row r="5" ht="32" customHeight="1">
      <c r="A5" s="5" t="inlineStr">
        <is>
          <t>Wd bruto</t>
        </is>
      </c>
      <c r="B5" s="9">
        <f>B4*Entradas!$B$30*Entradas!$B$28</f>
        <v/>
      </c>
      <c r="C5" s="5" t="inlineStr">
        <is>
          <t>kN</t>
        </is>
      </c>
      <c r="D5" s="5" t="inlineStr">
        <is>
          <t>Cilindro completo</t>
        </is>
      </c>
    </row>
    <row r="6" ht="32" customHeight="1">
      <c r="A6" s="4" t="inlineStr">
        <is>
          <t>N S1</t>
        </is>
      </c>
      <c r="B6" s="8">
        <f>Postes!B7+B5+Entradas!$B$31</f>
        <v/>
      </c>
      <c r="C6" s="4" t="inlineStr">
        <is>
          <t>kN</t>
        </is>
      </c>
      <c r="D6" s="4" t="inlineStr">
        <is>
          <t>Envolvente vertical retenida</t>
        </is>
      </c>
    </row>
    <row r="7" ht="32" customHeight="1">
      <c r="A7" s="5" t="inlineStr">
        <is>
          <t>N S2</t>
        </is>
      </c>
      <c r="B7" s="9">
        <f>Postes!B8+B5+Entradas!$B$31</f>
        <v/>
      </c>
      <c r="C7" s="5" t="inlineStr">
        <is>
          <t>kN</t>
        </is>
      </c>
      <c r="D7" s="5" t="inlineStr">
        <is>
          <t>Envolvente vertical retenida</t>
        </is>
      </c>
    </row>
    <row r="8" ht="32" customHeight="1">
      <c r="A8" s="4" t="inlineStr">
        <is>
          <t>q S1</t>
        </is>
      </c>
      <c r="B8" s="8">
        <f>B6/B4</f>
        <v/>
      </c>
      <c r="C8" s="4" t="inlineStr">
        <is>
          <t>kPa</t>
        </is>
      </c>
      <c r="D8" s="4" t="inlineStr">
        <is>
          <t>Presión media</t>
        </is>
      </c>
    </row>
    <row r="9" ht="32" customHeight="1">
      <c r="A9" s="5" t="inlineStr">
        <is>
          <t>q S2</t>
        </is>
      </c>
      <c r="B9" s="9">
        <f>B7/B4</f>
        <v/>
      </c>
      <c r="C9" s="5" t="inlineStr">
        <is>
          <t>kPa</t>
        </is>
      </c>
      <c r="D9" s="5" t="inlineStr">
        <is>
          <t>Presión media</t>
        </is>
      </c>
    </row>
    <row r="10" ht="32" customHeight="1">
      <c r="A10" s="4" t="inlineStr">
        <is>
          <t>RU S1</t>
        </is>
      </c>
      <c r="B10" s="8">
        <f>B8/Entradas!$B$32</f>
        <v/>
      </c>
      <c r="C10" s="4" t="inlineStr">
        <is>
          <t>—</t>
        </is>
      </c>
      <c r="D10" s="4" t="inlineStr">
        <is>
          <t>No acredita qadm local</t>
        </is>
      </c>
    </row>
    <row r="11" ht="32" customHeight="1">
      <c r="A11" s="5" t="inlineStr">
        <is>
          <t>RU S2</t>
        </is>
      </c>
      <c r="B11" s="9">
        <f>B9/Entradas!$B$32</f>
        <v/>
      </c>
      <c r="C11" s="5" t="inlineStr">
        <is>
          <t>—</t>
        </is>
      </c>
      <c r="D11" s="5" t="inlineStr">
        <is>
          <t>No acredita qadm local</t>
        </is>
      </c>
    </row>
    <row r="12" ht="32" customHeight="1">
      <c r="A12" s="4" t="inlineStr">
        <is>
          <t>V madera embebida</t>
        </is>
      </c>
      <c r="B12" s="8">
        <f>Postes!B4*Entradas!$B$30</f>
        <v/>
      </c>
      <c r="C12" s="4" t="inlineStr">
        <is>
          <t>m³</t>
        </is>
      </c>
      <c r="D12" s="4" t="inlineStr">
        <is>
          <t>Volumen que ocupa el poste</t>
        </is>
      </c>
    </row>
    <row r="13" ht="32" customHeight="1">
      <c r="A13" s="5" t="inlineStr">
        <is>
          <t>q neta S1</t>
        </is>
      </c>
      <c r="B13" s="9">
        <f>(B6-B12*Entradas!$B$28)/B4</f>
        <v/>
      </c>
      <c r="C13" s="5" t="inlineStr">
        <is>
          <t>kPa</t>
        </is>
      </c>
      <c r="D13" s="5" t="inlineStr">
        <is>
          <t>Corrección de doble conteo del volumen</t>
        </is>
      </c>
    </row>
    <row r="14" ht="32" customHeight="1">
      <c r="A14" s="4" t="inlineStr">
        <is>
          <t>q neta S2</t>
        </is>
      </c>
      <c r="B14" s="8">
        <f>(B7-B12*Entradas!$B$28)/B4</f>
        <v/>
      </c>
      <c r="C14" s="4" t="inlineStr">
        <is>
          <t>kPa</t>
        </is>
      </c>
      <c r="D14" s="4" t="inlineStr">
        <is>
          <t>Con peso de poste del Anexo</t>
        </is>
      </c>
    </row>
  </sheetData>
  <autoFilter ref="A3:D14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20" customWidth="1" min="3" max="3"/>
    <col width="60" customWidth="1" min="4" max="4"/>
  </cols>
  <sheetData>
    <row r="1" ht="30" customHeight="1">
      <c r="A1" s="1" t="inlineStr">
        <is>
          <t>MÓDULO DOCUMENTAL 50 m — NO METRADO REAL OPP</t>
        </is>
      </c>
      <c r="B1" s="1" t="n"/>
      <c r="C1" s="1" t="n"/>
      <c r="D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  <c r="D2" s="2" t="n"/>
    </row>
    <row r="3" ht="32" customHeight="1">
      <c r="A3" s="3" t="inlineStr">
        <is>
          <t>Magnitud</t>
        </is>
      </c>
      <c r="B3" s="3" t="inlineStr">
        <is>
          <t>Fórmula / resultado</t>
        </is>
      </c>
      <c r="C3" s="3" t="inlineStr">
        <is>
          <t>Unidad</t>
        </is>
      </c>
      <c r="D3" s="3" t="inlineStr">
        <is>
          <t>Lectura técnica</t>
        </is>
      </c>
    </row>
    <row r="4" ht="32" customHeight="1">
      <c r="A4" s="4" t="inlineStr">
        <is>
          <t>paños</t>
        </is>
      </c>
      <c r="B4" s="8">
        <f>ROUNDUP(Entradas!$B$51/Entradas!$B$52,0)</f>
        <v/>
      </c>
      <c r="C4" s="4" t="inlineStr">
        <is>
          <t>ud</t>
        </is>
      </c>
      <c r="D4" s="4" t="inlineStr">
        <is>
          <t>Longitud documental</t>
        </is>
      </c>
    </row>
    <row r="5" ht="32" customHeight="1">
      <c r="A5" s="5" t="inlineStr">
        <is>
          <t>postes</t>
        </is>
      </c>
      <c r="B5" s="9">
        <f>B4+1</f>
        <v/>
      </c>
      <c r="C5" s="5" t="inlineStr">
        <is>
          <t>ud</t>
        </is>
      </c>
      <c r="D5" s="5" t="inlineStr">
        <is>
          <t>Tramo abierto recto</t>
        </is>
      </c>
    </row>
    <row r="6" ht="32" customHeight="1">
      <c r="A6" s="4" t="inlineStr">
        <is>
          <t>doble malla</t>
        </is>
      </c>
      <c r="B6" s="8">
        <f>Entradas!$B$13*Entradas!$B$19*Entradas!$B$51</f>
        <v/>
      </c>
      <c r="C6" s="4" t="inlineStr">
        <is>
          <t>m²</t>
        </is>
      </c>
      <c r="D6" s="4" t="inlineStr">
        <is>
          <t>Sin traslapos</t>
        </is>
      </c>
    </row>
    <row r="7" ht="32" customHeight="1">
      <c r="A7" s="5" t="inlineStr">
        <is>
          <t>perimetrales</t>
        </is>
      </c>
      <c r="B7" s="9">
        <f>2*Entradas!$B$51</f>
        <v/>
      </c>
      <c r="C7" s="5" t="inlineStr">
        <is>
          <t>m</t>
        </is>
      </c>
      <c r="D7" s="5" t="inlineStr">
        <is>
          <t>Sin terminales</t>
        </is>
      </c>
    </row>
    <row r="8" ht="32" customHeight="1">
      <c r="A8" s="4" t="inlineStr">
        <is>
          <t>diagonales</t>
        </is>
      </c>
      <c r="B8" s="8">
        <f>2*B4*SQRT((Entradas!$B$51/B4)^2+Entradas!$B$19^2)</f>
        <v/>
      </c>
      <c r="C8" s="4" t="inlineStr">
        <is>
          <t>m</t>
        </is>
      </c>
      <c r="D8" s="4" t="inlineStr">
        <is>
          <t>Sin terminales</t>
        </is>
      </c>
    </row>
    <row r="9" ht="32" customHeight="1">
      <c r="A9" s="5" t="inlineStr">
        <is>
          <t>dados bruto</t>
        </is>
      </c>
      <c r="B9" s="9">
        <f>B5*PI()*Entradas!$B$29^2/4*Entradas!$B$30</f>
        <v/>
      </c>
      <c r="C9" s="5" t="inlineStr">
        <is>
          <t>m³</t>
        </is>
      </c>
      <c r="D9" s="5" t="inlineStr">
        <is>
          <t>Sin descontar madera</t>
        </is>
      </c>
    </row>
    <row r="10" ht="32" customHeight="1">
      <c r="A10" s="4" t="inlineStr">
        <is>
          <t>muertos retenidas</t>
        </is>
      </c>
      <c r="B10" s="8">
        <f>B5*Entradas!$B$43*Entradas!$B$44*Entradas!$B$45</f>
        <v/>
      </c>
      <c r="C10" s="4" t="inlineStr">
        <is>
          <t>m³</t>
        </is>
      </c>
      <c r="D10" s="4" t="inlineStr">
        <is>
          <t>Geometría del Anexo</t>
        </is>
      </c>
    </row>
    <row r="11" ht="32" customHeight="1">
      <c r="A11" s="5" t="inlineStr">
        <is>
          <t>muertos extremos</t>
        </is>
      </c>
      <c r="B11" s="9">
        <f>2*Entradas!$B$47*Entradas!$B$48*Entradas!$B$49</f>
        <v/>
      </c>
      <c r="C11" s="5" t="inlineStr">
        <is>
          <t>m³</t>
        </is>
      </c>
      <c r="D11" s="5" t="inlineStr">
        <is>
          <t>Dos por tramo recto</t>
        </is>
      </c>
    </row>
  </sheetData>
  <autoFilter ref="A3:D11"/>
  <mergeCells count="1">
    <mergeCell ref="A1:D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4" customWidth="1" min="2" max="2"/>
    <col width="60" customWidth="1" min="3" max="3"/>
  </cols>
  <sheetData>
    <row r="1" ht="30" customHeight="1">
      <c r="A1" s="1" t="inlineStr">
        <is>
          <t>RESULTADOS NUMÉRICOS CONTRASTADOS CON EL INFORME</t>
        </is>
      </c>
      <c r="B1" s="1" t="n"/>
      <c r="C1" s="1" t="n"/>
    </row>
    <row r="2" ht="36" customHeight="1">
      <c r="A2" s="2" t="inlineStr">
        <is>
          <t>RT-03 | Booster OPP C-18 a C-04 | cálculo del Anexo 2; no certificación del kit</t>
        </is>
      </c>
      <c r="B2" s="2" t="n"/>
      <c r="C2" s="2" t="n"/>
    </row>
    <row r="3" ht="32" customHeight="1">
      <c r="A3" s="3" t="inlineStr">
        <is>
          <t>Magnitud</t>
        </is>
      </c>
      <c r="B3" s="3" t="inlineStr">
        <is>
          <t>Valor independiente</t>
        </is>
      </c>
      <c r="C3" s="3" t="inlineStr">
        <is>
          <t>Unidad / alcance</t>
        </is>
      </c>
    </row>
    <row r="4" ht="32" customHeight="1">
      <c r="A4" s="4" t="inlineStr">
        <is>
          <t>Ed_S1_kJ</t>
        </is>
      </c>
      <c r="B4" s="8" t="n">
        <v>11.96</v>
      </c>
      <c r="C4" s="4" t="inlineStr">
        <is>
          <t>Resultado del modelo de D2</t>
        </is>
      </c>
    </row>
    <row r="5" ht="32" customHeight="1">
      <c r="A5" s="5" t="inlineStr">
        <is>
          <t>Ed_S2_kJ</t>
        </is>
      </c>
      <c r="B5" s="9" t="n">
        <v>16.64</v>
      </c>
      <c r="C5" s="5" t="inlineStr">
        <is>
          <t>Resultado del modelo de D2</t>
        </is>
      </c>
    </row>
    <row r="6" ht="32" customHeight="1">
      <c r="A6" s="4" t="inlineStr">
        <is>
          <t>F_S1_kN</t>
        </is>
      </c>
      <c r="B6" s="8" t="n">
        <v>15.94666666666667</v>
      </c>
      <c r="C6" s="4" t="inlineStr">
        <is>
          <t>Resultado del modelo de D2</t>
        </is>
      </c>
    </row>
    <row r="7" ht="32" customHeight="1">
      <c r="A7" s="5" t="inlineStr">
        <is>
          <t>F_S2_kN</t>
        </is>
      </c>
      <c r="B7" s="9" t="n">
        <v>22.18666666666667</v>
      </c>
      <c r="C7" s="5" t="inlineStr">
        <is>
          <t>Resultado del modelo de D2</t>
        </is>
      </c>
    </row>
    <row r="8" ht="32" customHeight="1">
      <c r="A8" s="4" t="inlineStr">
        <is>
          <t>T_S2_kN</t>
        </is>
      </c>
      <c r="B8" s="8" t="n">
        <v>56.56512313745596</v>
      </c>
      <c r="C8" s="4" t="inlineStr">
        <is>
          <t>Resultado del modelo de D2</t>
        </is>
      </c>
    </row>
    <row r="9" ht="32" customHeight="1">
      <c r="A9" s="5" t="inlineStr">
        <is>
          <t>R_malla_kN</t>
        </is>
      </c>
      <c r="B9" s="9" t="n">
        <v>63.98772200280851</v>
      </c>
      <c r="C9" s="5" t="inlineStr">
        <is>
          <t>Resultado del modelo de D2</t>
        </is>
      </c>
    </row>
    <row r="10" ht="32" customHeight="1">
      <c r="A10" s="4" t="inlineStr">
        <is>
          <t>RU_malla_S2</t>
        </is>
      </c>
      <c r="B10" s="8" t="n">
        <v>0.8839996387896608</v>
      </c>
      <c r="C10" s="4" t="inlineStr">
        <is>
          <t>Resultado del modelo de D2</t>
        </is>
      </c>
    </row>
    <row r="11" ht="32" customHeight="1">
      <c r="A11" s="5" t="inlineStr">
        <is>
          <t>Tc_S2_kN</t>
        </is>
      </c>
      <c r="B11" s="9" t="n">
        <v>28.28256156872798</v>
      </c>
      <c r="C11" s="5" t="inlineStr">
        <is>
          <t>Resultado del modelo de D2</t>
        </is>
      </c>
    </row>
    <row r="12" ht="32" customHeight="1">
      <c r="A12" s="4" t="inlineStr">
        <is>
          <t>FS_perimetral_nominal</t>
        </is>
      </c>
      <c r="B12" s="8" t="n">
        <v>3.1821728658239</v>
      </c>
      <c r="C12" s="4" t="inlineStr">
        <is>
          <t>Resultado del modelo de D2</t>
        </is>
      </c>
    </row>
    <row r="13" ht="32" customHeight="1">
      <c r="A13" s="5" t="inlineStr">
        <is>
          <t>Tr_S2_kN</t>
        </is>
      </c>
      <c r="B13" s="9" t="n">
        <v>10.45889496795036</v>
      </c>
      <c r="C13" s="5" t="inlineStr">
        <is>
          <t>Resultado del modelo de D2</t>
        </is>
      </c>
    </row>
    <row r="14" ht="32" customHeight="1">
      <c r="A14" s="4" t="inlineStr">
        <is>
          <t>FS_retenida_nominal</t>
        </is>
      </c>
      <c r="B14" s="8" t="n">
        <v>5.163069345803216</v>
      </c>
      <c r="C14" s="4" t="inlineStr">
        <is>
          <t>Resultado del modelo de D2</t>
        </is>
      </c>
    </row>
    <row r="15" ht="32" customHeight="1">
      <c r="A15" s="5" t="inlineStr">
        <is>
          <t>FS_muerto_vertical_S2</t>
        </is>
      </c>
      <c r="B15" s="9" t="n">
        <v>2.044471153846154</v>
      </c>
      <c r="C15" s="5" t="inlineStr">
        <is>
          <t>Resultado del modelo de D2</t>
        </is>
      </c>
    </row>
    <row r="16" ht="32" customHeight="1">
      <c r="A16" s="4" t="inlineStr">
        <is>
          <t>FS_muerto_horizontal_S2</t>
        </is>
      </c>
      <c r="B16" s="8" t="n">
        <v>6.056692294652093</v>
      </c>
      <c r="C16" s="4" t="inlineStr">
        <is>
          <t>Resultado del modelo de D2</t>
        </is>
      </c>
    </row>
    <row r="17" ht="32" customHeight="1">
      <c r="A17" s="5" t="inlineStr">
        <is>
          <t>Rbase_S2_kN</t>
        </is>
      </c>
      <c r="B17" s="9" t="n">
        <v>4.966115555555556</v>
      </c>
      <c r="C17" s="5" t="inlineStr">
        <is>
          <t>Resultado del modelo de D2</t>
        </is>
      </c>
    </row>
    <row r="18" ht="32" customHeight="1">
      <c r="A18" s="4" t="inlineStr">
        <is>
          <t>Hu_dado_kN</t>
        </is>
      </c>
      <c r="B18" s="8" t="n">
        <v>15.276</v>
      </c>
      <c r="C18" s="4" t="inlineStr">
        <is>
          <t>Resultado del modelo de D2</t>
        </is>
      </c>
    </row>
    <row r="19" ht="32" customHeight="1">
      <c r="A19" s="5" t="inlineStr">
        <is>
          <t>FS_dado_S2</t>
        </is>
      </c>
      <c r="B19" s="9" t="n">
        <v>3.076046022108941</v>
      </c>
      <c r="C19" s="5" t="inlineStr">
        <is>
          <t>Resultado del modelo de D2</t>
        </is>
      </c>
    </row>
    <row r="20" ht="32" customHeight="1">
      <c r="A20" s="4" t="inlineStr">
        <is>
          <t>FS_extremo_S2</t>
        </is>
      </c>
      <c r="B20" s="8" t="n">
        <v>2.421247135606495</v>
      </c>
      <c r="C20" s="4" t="inlineStr">
        <is>
          <t>Resultado del modelo de D2</t>
        </is>
      </c>
    </row>
    <row r="21" ht="32" customHeight="1">
      <c r="A21" s="5" t="inlineStr">
        <is>
          <t>RU_flex_eucalipto</t>
        </is>
      </c>
      <c r="B21" s="9" t="n">
        <v>0.7440050400884277</v>
      </c>
      <c r="C21" s="5" t="inlineStr">
        <is>
          <t>Resultado del modelo de D2</t>
        </is>
      </c>
    </row>
    <row r="22" ht="32" customHeight="1">
      <c r="A22" s="4" t="inlineStr">
        <is>
          <t>RU_corte_eucalipto</t>
        </is>
      </c>
      <c r="B22" s="8" t="n">
        <v>0.0680492414715025</v>
      </c>
      <c r="C22" s="4" t="inlineStr">
        <is>
          <t>Resultado del modelo de D2</t>
        </is>
      </c>
    </row>
    <row r="23" ht="32" customHeight="1">
      <c r="A23" s="5" t="inlineStr">
        <is>
          <t>Delta_eucalipto_m</t>
        </is>
      </c>
      <c r="B23" s="9" t="n">
        <v>0.1167066729550474</v>
      </c>
      <c r="C23" s="5" t="inlineStr">
        <is>
          <t>Resultado del modelo de D2</t>
        </is>
      </c>
    </row>
    <row r="24" ht="32" customHeight="1">
      <c r="A24" s="4" t="inlineStr">
        <is>
          <t>Lmin_dado_3post_m</t>
        </is>
      </c>
      <c r="B24" s="8" t="n">
        <v>0.6983115336241366</v>
      </c>
      <c r="C24" s="4" t="inlineStr">
        <is>
          <t>Resultado del modelo de D2</t>
        </is>
      </c>
    </row>
    <row r="25" ht="32" customHeight="1">
      <c r="A25" s="5" t="inlineStr">
        <is>
          <t>Lmin_dado_1post_m</t>
        </is>
      </c>
      <c r="B25" s="9" t="n">
        <v>1.209511055748347</v>
      </c>
      <c r="C25" s="5" t="inlineStr">
        <is>
          <t>Resultado del modelo de D2</t>
        </is>
      </c>
    </row>
    <row r="26" ht="32" customHeight="1">
      <c r="A26" s="4" t="inlineStr">
        <is>
          <t>Lmin_carga_baja_m</t>
        </is>
      </c>
      <c r="B26" s="8" t="n">
        <v>1.476001619344973</v>
      </c>
      <c r="C26" s="4" t="inlineStr">
        <is>
          <t>Resultado del modelo de D2</t>
        </is>
      </c>
    </row>
  </sheetData>
  <autoFilter ref="A3:C26"/>
  <mergeCells count="1">
    <mergeCell ref="A1:C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2026-10-28T21:26:00Z</dcterms:created>
  <dcterms:modified xmlns:dcterms="http://purl.org/dc/terms/" xmlns:xsi="http://www.w3.org/2001/XMLSchema-instance" xsi:type="dcterms:W3CDTF">2026-10-28T21:26:00Z</dcterms:modified>
</cp:coreProperties>
</file>